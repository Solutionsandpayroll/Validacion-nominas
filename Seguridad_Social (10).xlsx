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guridad Social" sheetId="1" r:id="rId1"/>
  </sheets>
</workbook>
</file>

<file path=xl/sharedStrings.xml><?xml version="1.0" encoding="utf-8"?>
<sst xmlns="http://schemas.openxmlformats.org/spreadsheetml/2006/main" count="754770" uniqueCount="5513">
  <si>
    <t>EMPLEADO</t>
  </si>
  <si>
    <t>NOMBRE COMPLETO</t>
  </si>
  <si>
    <t>SALARIO</t>
  </si>
  <si>
    <t>CONCEPTO</t>
  </si>
  <si>
    <t>DESCRIPCION CONCEPTO</t>
  </si>
  <si>
    <t>HORAS</t>
  </si>
  <si>
    <t>VALOR DEVENGADO</t>
  </si>
  <si>
    <t>VALOR DEDUCCION</t>
  </si>
  <si>
    <t>NETO</t>
  </si>
  <si>
    <t/>
  </si>
  <si>
    <t>HORA DOMINICALES ORDINARIA</t>
  </si>
  <si>
    <t>C032</t>
  </si>
  <si>
    <t>DIAS DOMINICALES</t>
  </si>
  <si>
    <t>D014</t>
  </si>
  <si>
    <t>ESTADIA A BORDO TRIPULANTE</t>
  </si>
  <si>
    <t>RECARGO NOCTURNO ORDINARIO</t>
  </si>
  <si>
    <t>C025</t>
  </si>
  <si>
    <t>RECARGO DOM/FEST NOCTURNO</t>
  </si>
  <si>
    <t>D019</t>
  </si>
  <si>
    <t>PRIMA DE VACACIONES</t>
  </si>
  <si>
    <t>G007</t>
  </si>
  <si>
    <t>S015</t>
  </si>
  <si>
    <t>APOYO DE SOSTENIMIENTO</t>
  </si>
  <si>
    <t>AUXILIO DE TRANSPORTE</t>
  </si>
  <si>
    <t>B008</t>
  </si>
  <si>
    <t>SUSPENSIONES</t>
  </si>
  <si>
    <t>A033</t>
  </si>
  <si>
    <t>CAPACITACIÓN</t>
  </si>
  <si>
    <t>A002</t>
  </si>
  <si>
    <t>SALARIO INTEGRAL</t>
  </si>
  <si>
    <t>INC ENF GRAL MAYOR 180 DIAS</t>
  </si>
  <si>
    <t>DIAS</t>
  </si>
  <si>
    <t>SI</t>
  </si>
  <si>
    <t>NO</t>
  </si>
  <si>
    <t>FECHA INCIO LIQUIDACION</t>
  </si>
  <si>
    <t>FECHA FIN LIQUIDACION</t>
  </si>
  <si>
    <t>SALARIO MINIMO ACTUAL</t>
  </si>
  <si>
    <t>SUBSIDILIO LEGAL TRANSPORTE</t>
  </si>
  <si>
    <t>ICBF</t>
  </si>
  <si>
    <t>APORTE SALUD</t>
  </si>
  <si>
    <t>APORTE PENSION</t>
  </si>
  <si>
    <t>FONDO DE SOLIDARIDAD</t>
  </si>
  <si>
    <t>VALOR UVT</t>
  </si>
  <si>
    <t>TABAL DE RETENCION</t>
  </si>
  <si>
    <t>TABLA DE FONDO SOLIDARIDAD</t>
  </si>
  <si>
    <t>TOPE SEG SOCIAL</t>
  </si>
  <si>
    <t>TOPE EXONERACION PARAFISCALES</t>
  </si>
  <si>
    <t>TOPE DEPENDIENTES</t>
  </si>
  <si>
    <t>TOPE MED PREGADA</t>
  </si>
  <si>
    <t>TOPE INTERESES HIPOTECARIOS</t>
  </si>
  <si>
    <t>TOPE RENTA EXENTA</t>
  </si>
  <si>
    <t>TOPE ALIVIOS</t>
  </si>
  <si>
    <t>Empleado</t>
  </si>
  <si>
    <t>Nombre Concepto</t>
  </si>
  <si>
    <t>Codigo Concepto</t>
  </si>
  <si>
    <t>Cedula</t>
  </si>
  <si>
    <t>Nombre Completo</t>
  </si>
  <si>
    <t>CONCATENAR</t>
  </si>
  <si>
    <t>Concatenar</t>
  </si>
  <si>
    <t>Nomina</t>
  </si>
  <si>
    <t>NOMBRE</t>
  </si>
  <si>
    <t>TIPO COTIZANTE</t>
  </si>
  <si>
    <t>SEXO</t>
  </si>
  <si>
    <t>CELULAR</t>
  </si>
  <si>
    <t>BANCO</t>
  </si>
  <si>
    <t>NOMINA</t>
  </si>
  <si>
    <t>SUCURSAL</t>
  </si>
  <si>
    <t>EPS</t>
  </si>
  <si>
    <t>AFP</t>
  </si>
  <si>
    <t>ESTADO</t>
  </si>
  <si>
    <t>AS</t>
  </si>
  <si>
    <t>1</t>
  </si>
  <si>
    <t>0</t>
  </si>
  <si>
    <t>M</t>
  </si>
  <si>
    <t>Soltero(a)</t>
  </si>
  <si>
    <t>NO APLICA</t>
  </si>
  <si>
    <t>ATLANTICO</t>
  </si>
  <si>
    <t>BARRANQUILLA</t>
  </si>
  <si>
    <t>Casado(a)</t>
  </si>
  <si>
    <t>PORVENIR</t>
  </si>
  <si>
    <t>BOGOTA</t>
  </si>
  <si>
    <t>F</t>
  </si>
  <si>
    <t>Unión Libre</t>
  </si>
  <si>
    <t>COLFONDOS</t>
  </si>
  <si>
    <t>CARTAGENA</t>
  </si>
  <si>
    <t>RET</t>
  </si>
  <si>
    <t>BOLIVAR</t>
  </si>
  <si>
    <t>PROTECCION</t>
  </si>
  <si>
    <t>NUEVA EPS</t>
  </si>
  <si>
    <t>SANTANDER</t>
  </si>
  <si>
    <t>CC</t>
  </si>
  <si>
    <t>SKANDIA</t>
  </si>
  <si>
    <t>BUCARAMANGA</t>
  </si>
  <si>
    <t>ALIANSALUD EPS</t>
  </si>
  <si>
    <t>NOVEDADES</t>
  </si>
  <si>
    <t>DIFERENCIA</t>
  </si>
  <si>
    <t>Unidad</t>
  </si>
  <si>
    <t>Vr completo</t>
  </si>
  <si>
    <t>Diferencia</t>
  </si>
  <si>
    <t>OBSERVACIONES</t>
  </si>
  <si>
    <t>INFORMACION PERSONAL</t>
  </si>
  <si>
    <t>CEDULA</t>
  </si>
  <si>
    <t>NOMBRES</t>
  </si>
  <si>
    <t>FECHA INGRESO</t>
  </si>
  <si>
    <t>TIPO DE SALARI</t>
  </si>
  <si>
    <t>CANT</t>
  </si>
  <si>
    <t>VALOR</t>
  </si>
  <si>
    <t>CARGO</t>
  </si>
  <si>
    <t>INFORMACION SALARIO</t>
  </si>
  <si>
    <t>TIPO LIQUIDACION SISTEMA</t>
  </si>
  <si>
    <t>Salarial</t>
  </si>
  <si>
    <t>No salarial</t>
  </si>
  <si>
    <t>Base Aux transporte</t>
  </si>
  <si>
    <t>SUBSIDIO DE TRANSPORTE</t>
  </si>
  <si>
    <t>Aplica</t>
  </si>
  <si>
    <t>No Aplica</t>
  </si>
  <si>
    <t>TIPO DE NOMINA</t>
  </si>
  <si>
    <t>TOPE SUBSIDIO TRANSPORTE</t>
  </si>
  <si>
    <t>VACACIONES EN DINERO</t>
  </si>
  <si>
    <t>BASE APLICAR</t>
  </si>
  <si>
    <t>LICENCIAS REMUNERADAS</t>
  </si>
  <si>
    <t>BASE LICENCIAS</t>
  </si>
  <si>
    <t>INCAPACIDADES</t>
  </si>
  <si>
    <t>BASE INCAPACIDAD</t>
  </si>
  <si>
    <t>PAGO INCAPCIDAD MAYOR 2 DIAS</t>
  </si>
  <si>
    <t>PAGO INCAPCIDAD MAYOR 180 DIAS</t>
  </si>
  <si>
    <t>PAGO INCAPCIDAD MENOR A 2 DIAS</t>
  </si>
  <si>
    <t>VACACIONES</t>
  </si>
  <si>
    <t>BASE VACACIONES</t>
  </si>
  <si>
    <t>VACACIONES HABILES</t>
  </si>
  <si>
    <t>VACACIONES NO HABILES</t>
  </si>
  <si>
    <t>VAC NO HABILES INTEGRALES</t>
  </si>
  <si>
    <t>Factor Hora Extra/ Recargo</t>
  </si>
  <si>
    <t>HORAS EXTRAS Y RECARGOS</t>
  </si>
  <si>
    <t>VR HORA</t>
  </si>
  <si>
    <t>DIAS /Horas</t>
  </si>
  <si>
    <t>OTROS DEVENGOS</t>
  </si>
  <si>
    <t>VR SISTEMA</t>
  </si>
  <si>
    <t>DIAS LABORADOS</t>
  </si>
  <si>
    <t>salario minimo</t>
  </si>
  <si>
    <t>INGRESOS SALARIALES</t>
  </si>
  <si>
    <t>IBC INICIAL</t>
  </si>
  <si>
    <t>INGRESOS NO SALARIALES</t>
  </si>
  <si>
    <t>TOTAL INGRESOS</t>
  </si>
  <si>
    <t>EXCESO</t>
  </si>
  <si>
    <t>IBC 1393</t>
  </si>
  <si>
    <t>IBC MES ANTERIOR</t>
  </si>
  <si>
    <t>IBC VACACIONES</t>
  </si>
  <si>
    <t>IBC INCAPACIDADES/LICENCIAS</t>
  </si>
  <si>
    <t>TOTAL IBC MES SEGURIDAD SOCIAL</t>
  </si>
  <si>
    <t>APORTE FONDO</t>
  </si>
  <si>
    <t>DIAS VAC/LICENCIAS</t>
  </si>
  <si>
    <t>DIAS INCAPACIDAD</t>
  </si>
  <si>
    <t>AS - AP - AF</t>
  </si>
  <si>
    <t>AP</t>
  </si>
  <si>
    <t>AF</t>
  </si>
  <si>
    <t>No aplica</t>
  </si>
  <si>
    <t>No Salarial</t>
  </si>
  <si>
    <t>Vacaciones/Licencia</t>
  </si>
  <si>
    <t>Incapacidad IBC Mes anterior</t>
  </si>
  <si>
    <t>APORTE SALUD SISTEMA</t>
  </si>
  <si>
    <t>APORTE PENSION SISTEMA</t>
  </si>
  <si>
    <t>APORTE FONDO SISTEMA</t>
  </si>
  <si>
    <t>Redondeo de SS</t>
  </si>
  <si>
    <t>PENSIONADO</t>
  </si>
  <si>
    <t>DIAS DE PAGO</t>
  </si>
  <si>
    <t>DIAS LABORADOS MES</t>
  </si>
  <si>
    <t>TOTAL IBC MES FONDO</t>
  </si>
  <si>
    <t>Paga mas de 30 días en nómina</t>
  </si>
  <si>
    <t>New Amount</t>
  </si>
  <si>
    <t>D021</t>
  </si>
  <si>
    <t>PRIMA NAVIDAD</t>
  </si>
  <si>
    <t>Embargos</t>
  </si>
  <si>
    <t>Dias pago</t>
  </si>
  <si>
    <t>EMBARGO</t>
  </si>
  <si>
    <t>INGRESOS</t>
  </si>
  <si>
    <t>OTROS INGRESOS</t>
  </si>
  <si>
    <t>RETENCION</t>
  </si>
  <si>
    <t>Ingresos</t>
  </si>
  <si>
    <t>Otros ingresos</t>
  </si>
  <si>
    <t>Seguridad Social</t>
  </si>
  <si>
    <t>AFC</t>
  </si>
  <si>
    <t>Retencion</t>
  </si>
  <si>
    <t>APORTES A SEG SOCIAL</t>
  </si>
  <si>
    <t>SUBTOTAL 1</t>
  </si>
  <si>
    <t>SUBTOTAL 2</t>
  </si>
  <si>
    <t>RENTA EXCENTA</t>
  </si>
  <si>
    <t>SUBTOTAL 3</t>
  </si>
  <si>
    <t>VIVIENDA</t>
  </si>
  <si>
    <t>MED PREPAGA</t>
  </si>
  <si>
    <t>DEPENDIENTES</t>
  </si>
  <si>
    <t>TOTAL 40%</t>
  </si>
  <si>
    <t>TOTAL ALIVIOS Y RENTAS</t>
  </si>
  <si>
    <t>DEDUCION</t>
  </si>
  <si>
    <t>BASE GRAVABLE</t>
  </si>
  <si>
    <t>PROCEDIMIENTO</t>
  </si>
  <si>
    <t>PORCENTAJE</t>
  </si>
  <si>
    <t>BASE GRAVABLE UVT</t>
  </si>
  <si>
    <t>VR EN UVT</t>
  </si>
  <si>
    <t>VR RETENCION</t>
  </si>
  <si>
    <t>VR A DESCONTAR</t>
  </si>
  <si>
    <t>PROJECT ENGINEER</t>
  </si>
  <si>
    <t>B013</t>
  </si>
  <si>
    <t>LICENCIA POR LUTO</t>
  </si>
  <si>
    <t>COMPENSATORIO</t>
  </si>
  <si>
    <t>ANTICIPO</t>
  </si>
  <si>
    <t>No.</t>
  </si>
  <si>
    <t>Tipo ID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</si>
  <si>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</si>
  <si>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</si>
  <si>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</si>
  <si>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</si>
  <si>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</si>
  <si>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</si>
  <si>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</si>
  <si>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</si>
  <si>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</si>
  <si>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Horas Laboradas</t>
  </si>
  <si>
    <t>Extranjero</t>
  </si>
  <si>
    <t>Colombiano Temporalmente en el Exterior</t>
  </si>
  <si>
    <t>Fecha Radicación en el Exterior</t>
  </si>
  <si>
    <t>ING</t>
  </si>
  <si>
    <t>Fecha ING</t>
  </si>
  <si>
    <t>Fecha RET</t>
  </si>
  <si>
    <t>TDE</t>
  </si>
  <si>
    <t>TAE</t>
  </si>
  <si>
    <t>TDP</t>
  </si>
  <si>
    <t>TAP</t>
  </si>
  <si>
    <t>VSP</t>
  </si>
  <si>
    <t>Fecha VSP</t>
  </si>
  <si>
    <t>VST</t>
  </si>
  <si>
    <t>SLN</t>
  </si>
  <si>
    <t>Inicio SLN</t>
  </si>
  <si>
    <t>Fin SLN</t>
  </si>
  <si>
    <t>IGE</t>
  </si>
  <si>
    <t>Inicio IGE</t>
  </si>
  <si>
    <t>Fin IGE</t>
  </si>
  <si>
    <t>LMA</t>
  </si>
  <si>
    <t>Inicio LMA</t>
  </si>
  <si>
    <t>Fin LMA</t>
  </si>
  <si>
    <t>VAC-LR</t>
  </si>
  <si>
    <t>Inicio VAC-LR</t>
  </si>
  <si>
    <t>Fin VAC-LR</t>
  </si>
  <si>
    <t>AVP</t>
  </si>
  <si>
    <t>VCT</t>
  </si>
  <si>
    <t>Inicio VCT</t>
  </si>
  <si>
    <t>Fin VCT</t>
  </si>
  <si>
    <t>IRL</t>
  </si>
  <si>
    <t>Inicio IRL</t>
  </si>
  <si>
    <t>Fin IRL</t>
  </si>
  <si>
    <t>Correcciones</t>
  </si>
  <si>
    <t>Salario Mensual($)</t>
  </si>
  <si>
    <t>Salario Integral</t>
  </si>
  <si>
    <t xml:space="preserve"> Salario Variable</t>
  </si>
  <si>
    <t>Administradora</t>
  </si>
  <si>
    <t>Días</t>
  </si>
  <si>
    <t>IBC</t>
  </si>
  <si>
    <t>Tarifa</t>
  </si>
  <si>
    <t>Valor Cotización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</si>
  <si>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</si>
  <si>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</si>
  <si>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</si>
  <si>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</si>
  <si>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</si>
  <si>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</si>
  <si>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</si>
  <si>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</si>
  <si>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</si>
  <si>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</si>
  <si>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</si>
  <si>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</si>
  <si>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</si>
  <si>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</si>
  <si>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</si>
  <si>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</si>
  <si>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Actividad Económica</t>
  </si>
  <si>
    <t>Administradora CCF</t>
  </si>
  <si>
    <t>IBC CCF</t>
  </si>
  <si>
    <t>Tarifa CCF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</si>
  <si>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</si>
  <si>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</si>
  <si>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</si>
  <si>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</si>
  <si>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</si>
  <si>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</si>
  <si>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</si>
  <si>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</si>
  <si>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</si>
  <si>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</si>
  <si>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</t>
  </si>
  <si>
    <t>N° ID</t>
  </si>
  <si>
    <t>40% INGRESOS</t>
  </si>
  <si>
    <t>B007</t>
  </si>
  <si>
    <t>B002</t>
  </si>
  <si>
    <t>LICENCIA DE PATERNIDAD</t>
  </si>
  <si>
    <t>LIC NO REMUNERADA</t>
  </si>
  <si>
    <t>MENSUAL</t>
  </si>
  <si>
    <t>NINGUNO</t>
  </si>
  <si>
    <t>NINGUNA</t>
  </si>
  <si>
    <t>Sin Riesgo</t>
  </si>
  <si>
    <t>NUEVA E.P.S.</t>
  </si>
  <si>
    <t>ARL SURA</t>
  </si>
  <si>
    <t>1. DEPENDIENTE</t>
  </si>
  <si>
    <t>EPS SURA (ANTES SUSALUD)</t>
  </si>
  <si>
    <t>Todos los sistemas (ARL, AFP, CCF, EPS)</t>
  </si>
  <si>
    <t>SANITAS</t>
  </si>
  <si>
    <t>5</t>
  </si>
  <si>
    <t>COLPENSIONES</t>
  </si>
  <si>
    <t>NUEVA EPS MOVILIDAD</t>
  </si>
  <si>
    <t>BOGOTA_D.E.</t>
  </si>
  <si>
    <t>ALIANSALUD EPS (ANTES COLMEDICA)</t>
  </si>
  <si>
    <t>SALUD TOTAL</t>
  </si>
  <si>
    <t>COOSALUD EPS</t>
  </si>
  <si>
    <t>CE</t>
  </si>
  <si>
    <t>INT CESANTIAS AÑO ANTERIOR</t>
  </si>
  <si>
    <t>G005</t>
  </si>
  <si>
    <t xml:space="preserve">GONZALEZ            </t>
  </si>
  <si>
    <t xml:space="preserve">JOSE                          </t>
  </si>
  <si>
    <t xml:space="preserve">               </t>
  </si>
  <si>
    <t xml:space="preserve">CARDONA             </t>
  </si>
  <si>
    <t xml:space="preserve">JESUS                         </t>
  </si>
  <si>
    <t xml:space="preserve">DAVID                         </t>
  </si>
  <si>
    <t xml:space="preserve">GARCIA              </t>
  </si>
  <si>
    <t xml:space="preserve">ROMERO                        </t>
  </si>
  <si>
    <t xml:space="preserve">PAOLA                         </t>
  </si>
  <si>
    <t xml:space="preserve">GUSTAVO             </t>
  </si>
  <si>
    <t xml:space="preserve">ENRIQUE                       </t>
  </si>
  <si>
    <t xml:space="preserve">LOPEZ                         </t>
  </si>
  <si>
    <t xml:space="preserve">KATHERINE                     </t>
  </si>
  <si>
    <t xml:space="preserve">ANTONIO                       </t>
  </si>
  <si>
    <t xml:space="preserve">CCF08 </t>
  </si>
  <si>
    <t xml:space="preserve">GOMEZ               </t>
  </si>
  <si>
    <t xml:space="preserve">JESUS               </t>
  </si>
  <si>
    <t xml:space="preserve">MIGUEL                        </t>
  </si>
  <si>
    <t xml:space="preserve">RUIZ                </t>
  </si>
  <si>
    <t xml:space="preserve">ALVAREZ                       </t>
  </si>
  <si>
    <t xml:space="preserve">WILSON              </t>
  </si>
  <si>
    <t xml:space="preserve">YULIETH                       </t>
  </si>
  <si>
    <t xml:space="preserve">CASTRO                        </t>
  </si>
  <si>
    <t xml:space="preserve">PACHECO                       </t>
  </si>
  <si>
    <t xml:space="preserve">HECTOR              </t>
  </si>
  <si>
    <t xml:space="preserve">MAURICIO                      </t>
  </si>
  <si>
    <t xml:space="preserve">FERNANDO                      </t>
  </si>
  <si>
    <t xml:space="preserve">MARTINEZ            </t>
  </si>
  <si>
    <t xml:space="preserve">CCF40 </t>
  </si>
  <si>
    <t xml:space="preserve">LUIS                </t>
  </si>
  <si>
    <t xml:space="preserve">CARLOS                        </t>
  </si>
  <si>
    <t xml:space="preserve">RODRIGUEZ           </t>
  </si>
  <si>
    <t xml:space="preserve">GUTIERREZ                     </t>
  </si>
  <si>
    <t xml:space="preserve">GARCIA                        </t>
  </si>
  <si>
    <t xml:space="preserve">MONTERO                       </t>
  </si>
  <si>
    <t xml:space="preserve">JOSE                </t>
  </si>
  <si>
    <t xml:space="preserve">NICOLAS             </t>
  </si>
  <si>
    <t xml:space="preserve">                              </t>
  </si>
  <si>
    <t xml:space="preserve">FERNANDEZ                     </t>
  </si>
  <si>
    <t xml:space="preserve">ALEJANDRO                     </t>
  </si>
  <si>
    <t xml:space="preserve">MARTINEZ                      </t>
  </si>
  <si>
    <t xml:space="preserve">ANDRES                        </t>
  </si>
  <si>
    <t xml:space="preserve">ZAPATA                        </t>
  </si>
  <si>
    <t xml:space="preserve">ANGEL                         </t>
  </si>
  <si>
    <t xml:space="preserve">RAFAEL                        </t>
  </si>
  <si>
    <t xml:space="preserve">DURAN               </t>
  </si>
  <si>
    <t xml:space="preserve">DANIEL                        </t>
  </si>
  <si>
    <t xml:space="preserve">SANTIAGO            </t>
  </si>
  <si>
    <t xml:space="preserve">MAURICIO            </t>
  </si>
  <si>
    <t xml:space="preserve">CRISTIAN            </t>
  </si>
  <si>
    <t xml:space="preserve">EDUARDO                       </t>
  </si>
  <si>
    <t xml:space="preserve">LUIS                          </t>
  </si>
  <si>
    <t xml:space="preserve">MENDOZA                       </t>
  </si>
  <si>
    <t xml:space="preserve">LEONARDO            </t>
  </si>
  <si>
    <t xml:space="preserve">PEREZ               </t>
  </si>
  <si>
    <t xml:space="preserve">BARRIOS             </t>
  </si>
  <si>
    <t xml:space="preserve">JORGE               </t>
  </si>
  <si>
    <t xml:space="preserve">GOMEZ                         </t>
  </si>
  <si>
    <t xml:space="preserve">IVAN                </t>
  </si>
  <si>
    <t xml:space="preserve">LOPEZ               </t>
  </si>
  <si>
    <t xml:space="preserve">HERNANDEZ                     </t>
  </si>
  <si>
    <t xml:space="preserve">MARIN                         </t>
  </si>
  <si>
    <t xml:space="preserve">DANIEL              </t>
  </si>
  <si>
    <t xml:space="preserve">DE JESUS                      </t>
  </si>
  <si>
    <t xml:space="preserve">ANDRES              </t>
  </si>
  <si>
    <t xml:space="preserve">FELIPE                        </t>
  </si>
  <si>
    <t xml:space="preserve">ANGEL               </t>
  </si>
  <si>
    <t xml:space="preserve">JIMENEZ                       </t>
  </si>
  <si>
    <t xml:space="preserve">JOHAN               </t>
  </si>
  <si>
    <t xml:space="preserve">DIAZ                          </t>
  </si>
  <si>
    <t xml:space="preserve">JULIO               </t>
  </si>
  <si>
    <t xml:space="preserve">CESAR                         </t>
  </si>
  <si>
    <t xml:space="preserve">RIVERA                        </t>
  </si>
  <si>
    <t xml:space="preserve">FUENTES             </t>
  </si>
  <si>
    <t xml:space="preserve">RINCON                        </t>
  </si>
  <si>
    <t xml:space="preserve">PERTUZ                        </t>
  </si>
  <si>
    <t xml:space="preserve">HERNANDEZ           </t>
  </si>
  <si>
    <t xml:space="preserve">GUERRERO                      </t>
  </si>
  <si>
    <t xml:space="preserve">VARGAS              </t>
  </si>
  <si>
    <t xml:space="preserve">ALFONSO                       </t>
  </si>
  <si>
    <t xml:space="preserve">BLANCO              </t>
  </si>
  <si>
    <t xml:space="preserve">RODRIGUEZ                     </t>
  </si>
  <si>
    <t xml:space="preserve">ALBERTO                       </t>
  </si>
  <si>
    <t xml:space="preserve">JUAN                </t>
  </si>
  <si>
    <t xml:space="preserve">MANUEL                        </t>
  </si>
  <si>
    <t xml:space="preserve">MORENO              </t>
  </si>
  <si>
    <t xml:space="preserve">MIRANDA                       </t>
  </si>
  <si>
    <t xml:space="preserve">MARCO               </t>
  </si>
  <si>
    <t xml:space="preserve">GUILLERMO                     </t>
  </si>
  <si>
    <t xml:space="preserve">LUNA                          </t>
  </si>
  <si>
    <t xml:space="preserve">HERRERA                       </t>
  </si>
  <si>
    <t xml:space="preserve">RAFAEL              </t>
  </si>
  <si>
    <t xml:space="preserve">SANTOS                        </t>
  </si>
  <si>
    <t xml:space="preserve">ALTAMAR                       </t>
  </si>
  <si>
    <t xml:space="preserve">CANO                </t>
  </si>
  <si>
    <t xml:space="preserve">WILMER              </t>
  </si>
  <si>
    <t xml:space="preserve">JIMENEZ             </t>
  </si>
  <si>
    <t xml:space="preserve">ESTEBAN                       </t>
  </si>
  <si>
    <t xml:space="preserve">MEDINA                        </t>
  </si>
  <si>
    <t xml:space="preserve">TORRES                        </t>
  </si>
  <si>
    <t xml:space="preserve">QUINTERO                      </t>
  </si>
  <si>
    <t xml:space="preserve">POLO                </t>
  </si>
  <si>
    <t xml:space="preserve">JAIME               </t>
  </si>
  <si>
    <t xml:space="preserve">CARLOS              </t>
  </si>
  <si>
    <t xml:space="preserve">VERGARA                       </t>
  </si>
  <si>
    <t xml:space="preserve">HUMBERTO                      </t>
  </si>
  <si>
    <t xml:space="preserve">MEZA                </t>
  </si>
  <si>
    <t xml:space="preserve">VICTOR              </t>
  </si>
  <si>
    <t xml:space="preserve">PEÑA                </t>
  </si>
  <si>
    <t xml:space="preserve">MUÑOZ               </t>
  </si>
  <si>
    <t xml:space="preserve">PAREDES                       </t>
  </si>
  <si>
    <t xml:space="preserve">DARIO                         </t>
  </si>
  <si>
    <t xml:space="preserve">ARRIETA             </t>
  </si>
  <si>
    <t xml:space="preserve">JAVIER                        </t>
  </si>
  <si>
    <t xml:space="preserve">VERA                </t>
  </si>
  <si>
    <t xml:space="preserve">DAVID               </t>
  </si>
  <si>
    <t xml:space="preserve">JHON                </t>
  </si>
  <si>
    <t xml:space="preserve">MARIO               </t>
  </si>
  <si>
    <t xml:space="preserve">OSCAR               </t>
  </si>
  <si>
    <t xml:space="preserve">FLOREZ              </t>
  </si>
  <si>
    <t xml:space="preserve">DIEGO               </t>
  </si>
  <si>
    <t xml:space="preserve">CAMPO               </t>
  </si>
  <si>
    <t xml:space="preserve">GUEVARA             </t>
  </si>
  <si>
    <t xml:space="preserve">GINA                </t>
  </si>
  <si>
    <t xml:space="preserve">SALGADO                       </t>
  </si>
  <si>
    <t xml:space="preserve">MIGUEL              </t>
  </si>
  <si>
    <t xml:space="preserve">RICARDO                       </t>
  </si>
  <si>
    <t xml:space="preserve">RICARDO             </t>
  </si>
  <si>
    <t xml:space="preserve">FONSECA                       </t>
  </si>
  <si>
    <t xml:space="preserve">PEDRO               </t>
  </si>
  <si>
    <t xml:space="preserve">MARIO                         </t>
  </si>
  <si>
    <t xml:space="preserve">SARMIENTO                     </t>
  </si>
  <si>
    <t xml:space="preserve">RUIZ                          </t>
  </si>
  <si>
    <t xml:space="preserve">PEREIRA             </t>
  </si>
  <si>
    <t xml:space="preserve">VASQUEZ             </t>
  </si>
  <si>
    <t xml:space="preserve">JULIANA                       </t>
  </si>
  <si>
    <t xml:space="preserve">NESTOR              </t>
  </si>
  <si>
    <t xml:space="preserve">LONDOÑO                       </t>
  </si>
  <si>
    <t xml:space="preserve">HERRERA             </t>
  </si>
  <si>
    <t xml:space="preserve">PEREZ                         </t>
  </si>
  <si>
    <t xml:space="preserve">CAMILO                        </t>
  </si>
  <si>
    <t xml:space="preserve">QUINTERO            </t>
  </si>
  <si>
    <t xml:space="preserve">KEVIN               </t>
  </si>
  <si>
    <t xml:space="preserve">SARMIENTO           </t>
  </si>
  <si>
    <t xml:space="preserve">WILLIAM                       </t>
  </si>
  <si>
    <t xml:space="preserve">CECILIA                       </t>
  </si>
  <si>
    <t xml:space="preserve">OSPINA              </t>
  </si>
  <si>
    <t xml:space="preserve">ANDERSON            </t>
  </si>
  <si>
    <t xml:space="preserve">BENAVIDES           </t>
  </si>
  <si>
    <t xml:space="preserve">VARGAS                        </t>
  </si>
  <si>
    <t xml:space="preserve">LEONARDO                      </t>
  </si>
  <si>
    <t xml:space="preserve">VALDERRAMA          </t>
  </si>
  <si>
    <t xml:space="preserve">LEON                </t>
  </si>
  <si>
    <t xml:space="preserve">DIAZ                </t>
  </si>
  <si>
    <t xml:space="preserve">MEJIA                         </t>
  </si>
  <si>
    <t xml:space="preserve">AVILA                         </t>
  </si>
  <si>
    <t xml:space="preserve">ERNESTO             </t>
  </si>
  <si>
    <t xml:space="preserve">GONZALEZ                      </t>
  </si>
  <si>
    <t xml:space="preserve">ARANGO                        </t>
  </si>
  <si>
    <t xml:space="preserve">TORRES              </t>
  </si>
  <si>
    <t xml:space="preserve">ROMERO              </t>
  </si>
  <si>
    <t xml:space="preserve">MARIA                         </t>
  </si>
  <si>
    <t xml:space="preserve">ADOLFO                        </t>
  </si>
  <si>
    <t xml:space="preserve">MOLINA              </t>
  </si>
  <si>
    <t xml:space="preserve">OCHOA                         </t>
  </si>
  <si>
    <t xml:space="preserve">ARTURO                        </t>
  </si>
  <si>
    <t xml:space="preserve">MONROY                        </t>
  </si>
  <si>
    <t xml:space="preserve">FLOREZ                        </t>
  </si>
  <si>
    <t xml:space="preserve">MEJIA               </t>
  </si>
  <si>
    <t xml:space="preserve">MOLINA                        </t>
  </si>
  <si>
    <t xml:space="preserve">CESAR               </t>
  </si>
  <si>
    <t xml:space="preserve">ESCOBAR                       </t>
  </si>
  <si>
    <t xml:space="preserve">CERVANTES           </t>
  </si>
  <si>
    <t xml:space="preserve">NARVAEZ                       </t>
  </si>
  <si>
    <t xml:space="preserve">WILLIAM             </t>
  </si>
  <si>
    <t xml:space="preserve">JOHN                </t>
  </si>
  <si>
    <t xml:space="preserve">RAMIREZ             </t>
  </si>
  <si>
    <t xml:space="preserve">BERNAL              </t>
  </si>
  <si>
    <t xml:space="preserve">SALTARIN                      </t>
  </si>
  <si>
    <t xml:space="preserve">AHUMADA                       </t>
  </si>
  <si>
    <t xml:space="preserve">VELASQUEZ                     </t>
  </si>
  <si>
    <t xml:space="preserve">DIANA               </t>
  </si>
  <si>
    <t xml:space="preserve">JAMES               </t>
  </si>
  <si>
    <t xml:space="preserve">SANCHEZ             </t>
  </si>
  <si>
    <t xml:space="preserve">HOYOS                         </t>
  </si>
  <si>
    <t xml:space="preserve">CORREA              </t>
  </si>
  <si>
    <t xml:space="preserve">VEGA                          </t>
  </si>
  <si>
    <t xml:space="preserve">ESTRADA             </t>
  </si>
  <si>
    <t xml:space="preserve">GABRIEL             </t>
  </si>
  <si>
    <t xml:space="preserve">JOAQUIN                       </t>
  </si>
  <si>
    <t xml:space="preserve">CARDENAS                      </t>
  </si>
  <si>
    <t xml:space="preserve">FORERO              </t>
  </si>
  <si>
    <t xml:space="preserve">HERNANDO                      </t>
  </si>
  <si>
    <t xml:space="preserve">FREDDY              </t>
  </si>
  <si>
    <t xml:space="preserve">SIERRA                        </t>
  </si>
  <si>
    <t xml:space="preserve">SIERRA              </t>
  </si>
  <si>
    <t xml:space="preserve">FRANCISCO                     </t>
  </si>
  <si>
    <t xml:space="preserve">PALACIO                       </t>
  </si>
  <si>
    <t xml:space="preserve">JULIAN                        </t>
  </si>
  <si>
    <t xml:space="preserve">FABIAN              </t>
  </si>
  <si>
    <t xml:space="preserve">CASTILLO                      </t>
  </si>
  <si>
    <t xml:space="preserve">ALEXANDER           </t>
  </si>
  <si>
    <t>hora</t>
  </si>
  <si>
    <t>dia</t>
  </si>
  <si>
    <t>horas devengo vs rv nomina</t>
  </si>
  <si>
    <t>B023</t>
  </si>
  <si>
    <t>B105</t>
  </si>
  <si>
    <t xml:space="preserve">LICENCIA REMUNERADA ART 140  </t>
  </si>
  <si>
    <t>B019</t>
  </si>
  <si>
    <t>PERMISO POR CITA MEDICA</t>
  </si>
  <si>
    <t xml:space="preserve">CAROLINA                      </t>
  </si>
  <si>
    <t xml:space="preserve">SALAZAR             </t>
  </si>
  <si>
    <t xml:space="preserve">STIVEN              </t>
  </si>
  <si>
    <t xml:space="preserve">MUÑOZ                         </t>
  </si>
  <si>
    <t xml:space="preserve">MARIA               </t>
  </si>
  <si>
    <t xml:space="preserve">CASTAÑO             </t>
  </si>
  <si>
    <t xml:space="preserve">KELLY               </t>
  </si>
  <si>
    <t xml:space="preserve">JOHANA                        </t>
  </si>
  <si>
    <t xml:space="preserve">ARIAS               </t>
  </si>
  <si>
    <t xml:space="preserve">PEÑARANDA           </t>
  </si>
  <si>
    <t>Etiquetas de fila</t>
  </si>
  <si>
    <t>Total general</t>
  </si>
  <si>
    <t>Suma de IBC2</t>
  </si>
  <si>
    <t xml:space="preserve">AGUILAR                       </t>
  </si>
  <si>
    <t xml:space="preserve">CAMILA                        </t>
  </si>
  <si>
    <t>Salario</t>
  </si>
  <si>
    <t>001050</t>
  </si>
  <si>
    <t xml:space="preserve">Salario..                                         </t>
  </si>
  <si>
    <t xml:space="preserve">Apoyo Sostenimiento                               </t>
  </si>
  <si>
    <t>001070</t>
  </si>
  <si>
    <t>Licencia Remunerada</t>
  </si>
  <si>
    <t>001158</t>
  </si>
  <si>
    <t>Pago Incapacidad E.P.S.</t>
  </si>
  <si>
    <t>001061</t>
  </si>
  <si>
    <t>Hora Extra Diurna 1,25</t>
  </si>
  <si>
    <t>001064</t>
  </si>
  <si>
    <t>Hora Ext Dom o Fest Noc</t>
  </si>
  <si>
    <t>Bono Por Recomendacion</t>
  </si>
  <si>
    <t>Auxilio Medicina Prepag</t>
  </si>
  <si>
    <t>Bono de Retención</t>
  </si>
  <si>
    <t>001130</t>
  </si>
  <si>
    <t>Días hábiles en Vacacio</t>
  </si>
  <si>
    <t>Pensión Empleado</t>
  </si>
  <si>
    <t>Aporte AFC Bancolombia</t>
  </si>
  <si>
    <t>Aporte AFC Davivienda</t>
  </si>
  <si>
    <t>Apor AFC Banco de Bogot</t>
  </si>
  <si>
    <t>Aporte AFC Av Villas</t>
  </si>
  <si>
    <t>Reintegro Retefuente</t>
  </si>
  <si>
    <t>Desc Bonificacion Bravo</t>
  </si>
  <si>
    <t>Media Medicina Prepagad</t>
  </si>
  <si>
    <t>Descuento Stock Options</t>
  </si>
  <si>
    <t>REINTEGRO LIBRANZA</t>
  </si>
  <si>
    <t>001153</t>
  </si>
  <si>
    <t>Licencia Paternidad</t>
  </si>
  <si>
    <t>Licencia No Remunerada</t>
  </si>
  <si>
    <t>001530</t>
  </si>
  <si>
    <t>Cesantias Parciales</t>
  </si>
  <si>
    <t>001565</t>
  </si>
  <si>
    <t>Interes Sobre Cesantías</t>
  </si>
  <si>
    <t>001567</t>
  </si>
  <si>
    <t>Bonificacion Bravo</t>
  </si>
  <si>
    <t>Auxilio Rodamiento</t>
  </si>
  <si>
    <t>001500</t>
  </si>
  <si>
    <t>Prima de Servicios</t>
  </si>
  <si>
    <t>003300</t>
  </si>
  <si>
    <t>Retención en la Fuente</t>
  </si>
  <si>
    <t>001300</t>
  </si>
  <si>
    <t xml:space="preserve">Auxilio de Transporte   </t>
  </si>
  <si>
    <t>001058</t>
  </si>
  <si>
    <t>001060</t>
  </si>
  <si>
    <t xml:space="preserve">Recargo Nocturno        </t>
  </si>
  <si>
    <t>001062</t>
  </si>
  <si>
    <t xml:space="preserve">Horas Extras Nocturnas                            </t>
  </si>
  <si>
    <t>001063</t>
  </si>
  <si>
    <t xml:space="preserve">Hora Extra Dominical o Festiva Diurna             </t>
  </si>
  <si>
    <t>001145</t>
  </si>
  <si>
    <t xml:space="preserve">Vacaciones en Dinero                              </t>
  </si>
  <si>
    <t>001150</t>
  </si>
  <si>
    <t xml:space="preserve">Inc. por Enfermedad Comun                         </t>
  </si>
  <si>
    <t>001151</t>
  </si>
  <si>
    <t xml:space="preserve">Inc. Enfermedad Comun Asumida                     </t>
  </si>
  <si>
    <t>001162</t>
  </si>
  <si>
    <t xml:space="preserve">Incapacidad Enfer. Profesional                    </t>
  </si>
  <si>
    <t>001178</t>
  </si>
  <si>
    <t>Factor Prestacional Inc.Salarios Integrales</t>
  </si>
  <si>
    <t>001562</t>
  </si>
  <si>
    <t xml:space="preserve">Cesantias Año Anterior                            </t>
  </si>
  <si>
    <t>002205</t>
  </si>
  <si>
    <t>Salud Empleado</t>
  </si>
  <si>
    <t>002210</t>
  </si>
  <si>
    <t xml:space="preserve">Pensión Empleado                                  </t>
  </si>
  <si>
    <t>002215</t>
  </si>
  <si>
    <t xml:space="preserve">Fondo de Solidaridad                              </t>
  </si>
  <si>
    <t>002960</t>
  </si>
  <si>
    <t xml:space="preserve">Provision Cesantias                               </t>
  </si>
  <si>
    <t>003200</t>
  </si>
  <si>
    <t>Media Medicina Prepagada</t>
  </si>
  <si>
    <t>003348</t>
  </si>
  <si>
    <t xml:space="preserve">Bonos Alimentación Gravados excede 41 UVT </t>
  </si>
  <si>
    <t>100000</t>
  </si>
  <si>
    <t>Auxilio Vivienda</t>
  </si>
  <si>
    <t>100003</t>
  </si>
  <si>
    <t>Auxilio Medicina Prepagada</t>
  </si>
  <si>
    <t>100011</t>
  </si>
  <si>
    <t>100013</t>
  </si>
  <si>
    <t>Lums Sum</t>
  </si>
  <si>
    <t>100014</t>
  </si>
  <si>
    <t>SIP Payment</t>
  </si>
  <si>
    <t>100015</t>
  </si>
  <si>
    <t>Tiempo Suplementario</t>
  </si>
  <si>
    <t>100019</t>
  </si>
  <si>
    <t>Bono de Retencion</t>
  </si>
  <si>
    <t>100023</t>
  </si>
  <si>
    <t>Bonificacion RSU-DAVIDEND</t>
  </si>
  <si>
    <t>100500</t>
  </si>
  <si>
    <t>May Vr Pagado Horas Extras</t>
  </si>
  <si>
    <t>100501</t>
  </si>
  <si>
    <t>May Vr Pag HEN 1.75%</t>
  </si>
  <si>
    <t>101500</t>
  </si>
  <si>
    <t>Auxilio Conectividad</t>
  </si>
  <si>
    <t>102215</t>
  </si>
  <si>
    <t>Fondo Solidaridad empresa</t>
  </si>
  <si>
    <t>110024</t>
  </si>
  <si>
    <t>Stock Options</t>
  </si>
  <si>
    <t>111500</t>
  </si>
  <si>
    <t>Vales alimentacion no gravados</t>
  </si>
  <si>
    <t>111501</t>
  </si>
  <si>
    <t>Vales alimentacion gravados</t>
  </si>
  <si>
    <t>200000</t>
  </si>
  <si>
    <t>Aporte  AFC Colpatria</t>
  </si>
  <si>
    <t>200001</t>
  </si>
  <si>
    <t>Aporte  AFC Itau</t>
  </si>
  <si>
    <t>200002</t>
  </si>
  <si>
    <t>Aporte  AFC Banco de Occidente</t>
  </si>
  <si>
    <t>200003</t>
  </si>
  <si>
    <t>Aporte  AFC Davivienda</t>
  </si>
  <si>
    <t>200004</t>
  </si>
  <si>
    <t>Aporte  AFC Av Villas</t>
  </si>
  <si>
    <t>200006</t>
  </si>
  <si>
    <t>Aporte  AFC Bancolombia</t>
  </si>
  <si>
    <t>200007</t>
  </si>
  <si>
    <t>Aporte  AFC BBVA</t>
  </si>
  <si>
    <t>200009</t>
  </si>
  <si>
    <t>Aporte  AFC Banco Caja Social</t>
  </si>
  <si>
    <t>200012</t>
  </si>
  <si>
    <t>Descuento Libranza</t>
  </si>
  <si>
    <t>200018</t>
  </si>
  <si>
    <t>Descuento plan dental</t>
  </si>
  <si>
    <t>Descuento Anticipo no</t>
  </si>
  <si>
    <t>Descuento Auxilio de Transporte</t>
  </si>
  <si>
    <t>200205</t>
  </si>
  <si>
    <t>Descuento vales de alimentacion</t>
  </si>
  <si>
    <t>200500</t>
  </si>
  <si>
    <t>Descuento medicina prepagada</t>
  </si>
  <si>
    <t>200510</t>
  </si>
  <si>
    <t>Ap pension vol proteccion</t>
  </si>
  <si>
    <t>200511</t>
  </si>
  <si>
    <t>Ap pension vol skandia</t>
  </si>
  <si>
    <t>200512</t>
  </si>
  <si>
    <t>Ap pension vol colfondos</t>
  </si>
  <si>
    <t>200513</t>
  </si>
  <si>
    <t>Ap pension vol porvenir</t>
  </si>
  <si>
    <t>999901</t>
  </si>
  <si>
    <t>Neto a Pagar</t>
  </si>
  <si>
    <t>CODIGO EMPLEADO</t>
  </si>
  <si>
    <t>CODIGO ALTERNO</t>
  </si>
  <si>
    <t>TIPO DOC</t>
  </si>
  <si>
    <t>DOCUMENTO</t>
  </si>
  <si>
    <t>F_NACIMI.</t>
  </si>
  <si>
    <t>ESTADO CIVIL</t>
  </si>
  <si>
    <t># HIJOS</t>
  </si>
  <si>
    <t>PERSONAS A CARGO</t>
  </si>
  <si>
    <t>CIUDAD RESIDENCIA</t>
  </si>
  <si>
    <t>DIRECCIÓN RESIDENCIA</t>
  </si>
  <si>
    <t>TELEFONO RESIDENCIA</t>
  </si>
  <si>
    <t>E-MAIL</t>
  </si>
  <si>
    <t>CUENTA GASTO</t>
  </si>
  <si>
    <t>TIPO LIQUIDACIÓN</t>
  </si>
  <si>
    <t>MODO DE LIQUIDACIÓN PARA CONCEPTOS</t>
  </si>
  <si>
    <t>SUBTIPO COTIZANTE</t>
  </si>
  <si>
    <t>VARIABLE</t>
  </si>
  <si>
    <t>PAGO POR DÍAS</t>
  </si>
  <si>
    <t>EXTRANJERO</t>
  </si>
  <si>
    <t>RESIDE EN EL EXTRANJERO</t>
  </si>
  <si>
    <t>F_INGRESO</t>
  </si>
  <si>
    <t>F_RETIRO</t>
  </si>
  <si>
    <t>REGIMEN</t>
  </si>
  <si>
    <t>TIPO_CONTR.</t>
  </si>
  <si>
    <t>HORAS MES</t>
  </si>
  <si>
    <t>CLASE DE SALARIO</t>
  </si>
  <si>
    <t> SUELDO </t>
  </si>
  <si>
    <t> VLR HORA </t>
  </si>
  <si>
    <t>TIPO CUENTA</t>
  </si>
  <si>
    <t>N° CUENTA</t>
  </si>
  <si>
    <t>COMPAÑÍA</t>
  </si>
  <si>
    <t>CENTRO COSTOS</t>
  </si>
  <si>
    <t xml:space="preserve">CLASIFICACIÓN NO 1            </t>
  </si>
  <si>
    <t xml:space="preserve">CLASIFICACIÓN NO 2            </t>
  </si>
  <si>
    <t xml:space="preserve">CLASIFICACIÓN NO 3            </t>
  </si>
  <si>
    <t xml:space="preserve">CLASIFICACIÓN NO 4            </t>
  </si>
  <si>
    <t xml:space="preserve">CLASIFICACIÓN NO 5            </t>
  </si>
  <si>
    <t xml:space="preserve">CLASIFICACIÓN NO 6            </t>
  </si>
  <si>
    <t xml:space="preserve">CLASIFICACIÓN NO 7            </t>
  </si>
  <si>
    <t>DEDUCIBLE VIVIENDA</t>
  </si>
  <si>
    <t>DEDUCIBLE DEPENDIENTES</t>
  </si>
  <si>
    <t>DEDUCIBLE MEDICINA PREPAGADA</t>
  </si>
  <si>
    <t>METODO RETENCION</t>
  </si>
  <si>
    <t>% RET.</t>
  </si>
  <si>
    <t>ARL</t>
  </si>
  <si>
    <t>CCF</t>
  </si>
  <si>
    <t>FONDO CESANTIAS</t>
  </si>
  <si>
    <t>AHORRO PROGRAMADO (AFC)</t>
  </si>
  <si>
    <t>APORTE VOLUNTARIO</t>
  </si>
  <si>
    <t>46377202</t>
  </si>
  <si>
    <t>RODRIGUEZ CRUZ EDITH JULIETA</t>
  </si>
  <si>
    <t>3162244768</t>
  </si>
  <si>
    <t>EJRODRIGUEZ@RA.ROCKWELL.COM</t>
  </si>
  <si>
    <t>No esta pensionado</t>
  </si>
  <si>
    <t xml:space="preserve">51              </t>
  </si>
  <si>
    <t xml:space="preserve">Mensual                       </t>
  </si>
  <si>
    <t xml:space="preserve">Ley 50  </t>
  </si>
  <si>
    <t>Termino Indefinido</t>
  </si>
  <si>
    <t xml:space="preserve">Integral  </t>
  </si>
  <si>
    <t xml:space="preserve">BANCOLOMBIA S.A.              </t>
  </si>
  <si>
    <t>Consign.Cta  Ahorros</t>
  </si>
  <si>
    <t xml:space="preserve">2033015810733            </t>
  </si>
  <si>
    <t>01 - ROCKWELL AUTOMATION COLOMBIA S A</t>
  </si>
  <si>
    <t>0 - NO APLICA</t>
  </si>
  <si>
    <t>Modalidad 1</t>
  </si>
  <si>
    <t>E.P.S SANITAS</t>
  </si>
  <si>
    <t>PROTECCIÓN</t>
  </si>
  <si>
    <t>CCF COMPENSAR</t>
  </si>
  <si>
    <t>SIN FONDO DE CESANTIAS</t>
  </si>
  <si>
    <t>Apor AFC Banco de Occid</t>
  </si>
  <si>
    <t>Activos</t>
  </si>
  <si>
    <t>VILLAMIL GALINDO JULIO CESAR</t>
  </si>
  <si>
    <t>PROJECT MANAGER</t>
  </si>
  <si>
    <t xml:space="preserve">BANCO DE BOGOTÁ               </t>
  </si>
  <si>
    <t>Modalidad 2</t>
  </si>
  <si>
    <t>ADMINISTRADORA COLOMBIANA DE PENSIONES COLPENSIONES</t>
  </si>
  <si>
    <t>1020846765</t>
  </si>
  <si>
    <t>AVELLO ALVAREZ JUAN JOSE</t>
  </si>
  <si>
    <t>3152586286</t>
  </si>
  <si>
    <t>Termino Fijo &lt; 1 año</t>
  </si>
  <si>
    <t>SR CYBER APPLICATION CONSULTANT – MEXICO</t>
  </si>
  <si>
    <t xml:space="preserve">BBVA COLOMBIA                 </t>
  </si>
  <si>
    <t xml:space="preserve">0944038082               </t>
  </si>
  <si>
    <t>104030 - 104030</t>
  </si>
  <si>
    <t>94416294</t>
  </si>
  <si>
    <t>VALDERRAMA CONCHA ANDRES FELIPE</t>
  </si>
  <si>
    <t xml:space="preserve">CALI                          </t>
  </si>
  <si>
    <t>CL 12 A # 106 - 90</t>
  </si>
  <si>
    <t>3176552114</t>
  </si>
  <si>
    <t xml:space="preserve">80847020098              </t>
  </si>
  <si>
    <t>104018 - 104018</t>
  </si>
  <si>
    <t>COMFACUNDI</t>
  </si>
  <si>
    <t>51813374</t>
  </si>
  <si>
    <t>SANCHEZ TEJADA ADRIANA</t>
  </si>
  <si>
    <t>3153062692</t>
  </si>
  <si>
    <t>ASANCHEZ1@RA.ROCKWELL.COM</t>
  </si>
  <si>
    <t xml:space="preserve">4881337406               </t>
  </si>
  <si>
    <t>98624466</t>
  </si>
  <si>
    <t>GARCIA LEON EDISSON AUGUSTO</t>
  </si>
  <si>
    <t>3152582916</t>
  </si>
  <si>
    <t>FIELD SERVICE ENGINEER SR</t>
  </si>
  <si>
    <t xml:space="preserve">Normal    </t>
  </si>
  <si>
    <t xml:space="preserve">69358180086              </t>
  </si>
  <si>
    <t>SALUD TOTAL S.A.</t>
  </si>
  <si>
    <t>COMFENALCO CARTAGENA</t>
  </si>
  <si>
    <t>LERMA GARRIDO WILMER</t>
  </si>
  <si>
    <t>SOLUTION ARCHITECT</t>
  </si>
  <si>
    <t>104017 - 104017</t>
  </si>
  <si>
    <t>GONZALEZ CASTANEDA DAVID</t>
  </si>
  <si>
    <t>BUSINESS MANAGER, PROFESSIONAL SERVICES (CYBER, DIGITAL, MOM), LAR</t>
  </si>
  <si>
    <t xml:space="preserve">SCOTIABANK COLPATRIA          </t>
  </si>
  <si>
    <t>104057 - 104057</t>
  </si>
  <si>
    <t>79864894</t>
  </si>
  <si>
    <t>MOLINA JUNCO HUGO ALEXANDER</t>
  </si>
  <si>
    <t>3168781274</t>
  </si>
  <si>
    <t>HMOLINA1@RA.ROCKWELL.COM</t>
  </si>
  <si>
    <t>PROPOSAL MANAGER, LIFECYCLE SERVICES</t>
  </si>
  <si>
    <t xml:space="preserve">18317037039              </t>
  </si>
  <si>
    <t>104025 - 104025</t>
  </si>
  <si>
    <t>94469034</t>
  </si>
  <si>
    <t>BRAVO SOLARTE HECTOR MARIO</t>
  </si>
  <si>
    <t>3162250092</t>
  </si>
  <si>
    <t>BUSINESS SEGMENT MANAGER ITD</t>
  </si>
  <si>
    <t xml:space="preserve">BANCO AV VILLAS               </t>
  </si>
  <si>
    <t xml:space="preserve">6782007165               </t>
  </si>
  <si>
    <t>Aporte AFC Colpatria</t>
  </si>
  <si>
    <t>1127577184</t>
  </si>
  <si>
    <t>MEZA PAUL MARIA ALEJANDRA</t>
  </si>
  <si>
    <t>3176353561</t>
  </si>
  <si>
    <t>MMEZA1@RA.ROCKWELL.COM</t>
  </si>
  <si>
    <t>GLOBAL COMMERCIAL PROGRAM MANAGER</t>
  </si>
  <si>
    <t xml:space="preserve">1004631672               </t>
  </si>
  <si>
    <t>104015 - 104015</t>
  </si>
  <si>
    <t>OLD MUTUAL FONDO DE PENSIONES OBLIGATORIAS</t>
  </si>
  <si>
    <t>Aporte AFC Itau - Apor AFC Banco de Occid</t>
  </si>
  <si>
    <t>424785</t>
  </si>
  <si>
    <t>SEGURA  FRANCOIS ALBERT</t>
  </si>
  <si>
    <t>3183727716</t>
  </si>
  <si>
    <t>FSEGURA@RA.ROCKWELL.COM</t>
  </si>
  <si>
    <t>BUSINESS SEGMENT MANAGER LF</t>
  </si>
  <si>
    <t xml:space="preserve">1005010396               </t>
  </si>
  <si>
    <t>Aporte AFC BBVA</t>
  </si>
  <si>
    <t>TRIANA GOMEZ LUZ ESPERANZA</t>
  </si>
  <si>
    <t>SR ACCOUNTANT</t>
  </si>
  <si>
    <t xml:space="preserve">BANCO DAVIVIENDA S.A.         </t>
  </si>
  <si>
    <t>71269226</t>
  </si>
  <si>
    <t>RUIZ MARTINEZ JUAN CAMILO</t>
  </si>
  <si>
    <t xml:space="preserve">BOGOTA                        </t>
  </si>
  <si>
    <t>3017218036</t>
  </si>
  <si>
    <t>JCRUIZ@RA.ROCKWELL.COM</t>
  </si>
  <si>
    <t>ENGINEERING MANAGER</t>
  </si>
  <si>
    <t xml:space="preserve">61425736352              </t>
  </si>
  <si>
    <t>104013 - 104013</t>
  </si>
  <si>
    <t>EPS SURA</t>
  </si>
  <si>
    <t>1018406527</t>
  </si>
  <si>
    <t>RICO HERNANDEZ OSCAR EDUARDO</t>
  </si>
  <si>
    <t>3158699878</t>
  </si>
  <si>
    <t>REGIONAL REMOTE SUPPORT MGR - LA</t>
  </si>
  <si>
    <t xml:space="preserve">65048153431              </t>
  </si>
  <si>
    <t>1018406436</t>
  </si>
  <si>
    <t>RODRIGUEZ MOLINA JOSE DAVID</t>
  </si>
  <si>
    <t>3123674871</t>
  </si>
  <si>
    <t>SR. CONSULTANT, REMOTE SUPPORT</t>
  </si>
  <si>
    <t xml:space="preserve">17147306211              </t>
  </si>
  <si>
    <t>52530451</t>
  </si>
  <si>
    <t>PEÑA CARDENAS ERIKA YOLIMA</t>
  </si>
  <si>
    <t>7516753</t>
  </si>
  <si>
    <t>EPENA1@RA.ROCKWELL.COM</t>
  </si>
  <si>
    <t>LEAN PROJECT MANAGER</t>
  </si>
  <si>
    <t xml:space="preserve">68994993929              </t>
  </si>
  <si>
    <t>502210</t>
  </si>
  <si>
    <t>TACORONTE RIVERO ERNESTO LUIS</t>
  </si>
  <si>
    <t>8074411</t>
  </si>
  <si>
    <t>ETACORONTE@RA.ROCKWELL.COM</t>
  </si>
  <si>
    <t>REGIONAL BUSINESS MANAGER LIFECYCLE SERVICES, ANDEAN REGION</t>
  </si>
  <si>
    <t xml:space="preserve">74398871701              </t>
  </si>
  <si>
    <t>104066 - 104066</t>
  </si>
  <si>
    <t>1020796094</t>
  </si>
  <si>
    <t>ALBESANO RODRIGUEZ TOMAS ENRICO</t>
  </si>
  <si>
    <t>4789292</t>
  </si>
  <si>
    <t>TALBESA@RA.ROCKWELL.COM</t>
  </si>
  <si>
    <t>PORTFOLIO EXPERT</t>
  </si>
  <si>
    <t xml:space="preserve">456170041051             </t>
  </si>
  <si>
    <t>72266298</t>
  </si>
  <si>
    <t>ZARATE LOPEZ MARCO TULIO</t>
  </si>
  <si>
    <t>3193905</t>
  </si>
  <si>
    <t>MZARATE@RA.ROCKWELL.COM</t>
  </si>
  <si>
    <t xml:space="preserve">48372691347              </t>
  </si>
  <si>
    <t>1014191248</t>
  </si>
  <si>
    <t>CALDERON MANCHEGO JOSE ERNESTO</t>
  </si>
  <si>
    <t>6307336</t>
  </si>
  <si>
    <t>JCALDER4@RA.ROCKWELL.COM</t>
  </si>
  <si>
    <t>SR PROPOSAL CONSULTANT</t>
  </si>
  <si>
    <t xml:space="preserve">897158242                </t>
  </si>
  <si>
    <t>79521449</t>
  </si>
  <si>
    <t>RAMIREZ RODRIGUEZ JUVENAL HUMBERTO</t>
  </si>
  <si>
    <t>6734893</t>
  </si>
  <si>
    <t>CONSULTANT, REMOTE SUPPORT</t>
  </si>
  <si>
    <t xml:space="preserve">001700008657             </t>
  </si>
  <si>
    <t>104009 - 104009</t>
  </si>
  <si>
    <t>88233100</t>
  </si>
  <si>
    <t>LIZCANO GOMEZ RICARDO</t>
  </si>
  <si>
    <t>4601523</t>
  </si>
  <si>
    <t>CSM DELIVERY MANAGER</t>
  </si>
  <si>
    <t xml:space="preserve">65050805519              </t>
  </si>
  <si>
    <t>104033 - 104033</t>
  </si>
  <si>
    <t>16928777</t>
  </si>
  <si>
    <t>GOMEZ SANTOFIMIO NESTOR JAVIER</t>
  </si>
  <si>
    <t xml:space="preserve">BARRANQUILLA                  </t>
  </si>
  <si>
    <t>6499600</t>
  </si>
  <si>
    <t>NGOMEZS@RA.ROCKWELL.COM</t>
  </si>
  <si>
    <t>BUSINESS SEGMENT MANAGER SWC</t>
  </si>
  <si>
    <t xml:space="preserve">30041529649              </t>
  </si>
  <si>
    <t>1144151741</t>
  </si>
  <si>
    <t>RESTREPO MARIN PAOLA</t>
  </si>
  <si>
    <t>4633890</t>
  </si>
  <si>
    <t>PRESTRE@RA.ROCKWELL.COM</t>
  </si>
  <si>
    <t>AGREEMENT MANAGER &amp; SUBREGIONAL LEAD - LAW</t>
  </si>
  <si>
    <t xml:space="preserve">82991071616              </t>
  </si>
  <si>
    <t>104054 - 104054</t>
  </si>
  <si>
    <t>FONDO NACIONAL DEL AHORRO - FNA</t>
  </si>
  <si>
    <t>1032380630</t>
  </si>
  <si>
    <t>POLO TORRES SORAIMA SELENE</t>
  </si>
  <si>
    <t>CL 46 52 27</t>
  </si>
  <si>
    <t>2225998</t>
  </si>
  <si>
    <t>SPOLOTO@RA.ROCKWELL.COM</t>
  </si>
  <si>
    <t>CUSTOMER QUALITY MGR</t>
  </si>
  <si>
    <t xml:space="preserve">65076042441              </t>
  </si>
  <si>
    <t>104004 - 104004</t>
  </si>
  <si>
    <t>94552091</t>
  </si>
  <si>
    <t>VELASCO BURBANO GUSTAVO ADOLFO</t>
  </si>
  <si>
    <t>3726284</t>
  </si>
  <si>
    <t>FIELD SERVICE ENGINEER</t>
  </si>
  <si>
    <t>38565334</t>
  </si>
  <si>
    <t>CALDERON QUEVEDO EVELIN ELISA</t>
  </si>
  <si>
    <t>3188655656</t>
  </si>
  <si>
    <t>ECALDER3@RA.ROCKWELL.COM</t>
  </si>
  <si>
    <t>CYBERSECURITY SERVICES SALES EXECUTIVE</t>
  </si>
  <si>
    <t xml:space="preserve">880014493                </t>
  </si>
  <si>
    <t>1020746129</t>
  </si>
  <si>
    <t>MITROSBARAS VARGAS COSTANTINO</t>
  </si>
  <si>
    <t>6481207</t>
  </si>
  <si>
    <t>3005347647</t>
  </si>
  <si>
    <t>CMITROS@RA.ROCKWELL.COM</t>
  </si>
  <si>
    <t xml:space="preserve">15859362866              </t>
  </si>
  <si>
    <t>Aporte AFC Bancolombia - Aporte AFC BBVA</t>
  </si>
  <si>
    <t>7183581</t>
  </si>
  <si>
    <t>BLANCO LEGUIZAMON DIEGO RICARDO</t>
  </si>
  <si>
    <t>6961988</t>
  </si>
  <si>
    <t>DBLANCO@RA.ROCKWELL.COM</t>
  </si>
  <si>
    <t xml:space="preserve">BANCO CAJA SOCIAL - BCSC S.A. </t>
  </si>
  <si>
    <t xml:space="preserve">24092342350              </t>
  </si>
  <si>
    <t>11233975</t>
  </si>
  <si>
    <t>BELTRAN RODRIGUEZ EDICSON ARNETH</t>
  </si>
  <si>
    <t>8298696</t>
  </si>
  <si>
    <t>CUSTOMER CARE SPECIALIST</t>
  </si>
  <si>
    <t xml:space="preserve">BANCO DE OCCIDENTE            </t>
  </si>
  <si>
    <t xml:space="preserve">0344417936               </t>
  </si>
  <si>
    <t>13928419</t>
  </si>
  <si>
    <t>JAUREGUI PACHECO DUBIAN YAMID</t>
  </si>
  <si>
    <t>7010153</t>
  </si>
  <si>
    <t xml:space="preserve">01367016040              </t>
  </si>
  <si>
    <t>HURTADO GAITAN JULIAN ALEXANDER</t>
  </si>
  <si>
    <t>LA REGIONAL PRODUCT MGR LVMCC</t>
  </si>
  <si>
    <t>COMPENSAR ENTIDAD PROMOTORA DE SALUD</t>
  </si>
  <si>
    <t>743339</t>
  </si>
  <si>
    <t>AULAR CASTELLANOS LISETTE KATHERINE</t>
  </si>
  <si>
    <t>NSS PROJECT MANAGER</t>
  </si>
  <si>
    <t>104007 - 104007</t>
  </si>
  <si>
    <t>1143831936</t>
  </si>
  <si>
    <t>ZURITA RAMOS JEISON ANDRES</t>
  </si>
  <si>
    <t>CONTRACTS ADMINISTRATOR</t>
  </si>
  <si>
    <t>104067 - 104067</t>
  </si>
  <si>
    <t>79957003</t>
  </si>
  <si>
    <t>MORENO TORRES JUAN PABLO</t>
  </si>
  <si>
    <t>CL 142 # 13 - 44 AP 515</t>
  </si>
  <si>
    <t>5108331</t>
  </si>
  <si>
    <t>JMOREN13@RA.ROCKWELL.COM</t>
  </si>
  <si>
    <t xml:space="preserve">268837655                </t>
  </si>
  <si>
    <t>1053779507</t>
  </si>
  <si>
    <t>EPALZA GONZALEZ JHON ALEJANDRO</t>
  </si>
  <si>
    <t>CR 33 B # 97 - 22</t>
  </si>
  <si>
    <t>8902422</t>
  </si>
  <si>
    <t>JEPALZA@RA.ROCKWELL.COM</t>
  </si>
  <si>
    <t>PROCESS BUSINESS DEVELOPMENT MANAGER LA</t>
  </si>
  <si>
    <t xml:space="preserve">05956828084              </t>
  </si>
  <si>
    <t>52910485</t>
  </si>
  <si>
    <t>RINCON GARZON DIANA YOMARA</t>
  </si>
  <si>
    <t>DRINCON1@RA.ROCKWELL.COM</t>
  </si>
  <si>
    <t>BUYER</t>
  </si>
  <si>
    <t xml:space="preserve">20155778049              </t>
  </si>
  <si>
    <t>104040 - 104040</t>
  </si>
  <si>
    <t>52704384</t>
  </si>
  <si>
    <t>CAVIEDES LUNA GYSELLA</t>
  </si>
  <si>
    <t>CUSTOMER SUCCESS SPECIALIST</t>
  </si>
  <si>
    <t xml:space="preserve">450770067921             </t>
  </si>
  <si>
    <t>104020 - 104020</t>
  </si>
  <si>
    <t>80093596</t>
  </si>
  <si>
    <t>CANTOR CORTES HECTOR MAURICIO</t>
  </si>
  <si>
    <t>MCANTOR2@RA.ROCKWELL.COM</t>
  </si>
  <si>
    <t>MARKETING BUSINESS MANAGER</t>
  </si>
  <si>
    <t xml:space="preserve">0570006270430447         </t>
  </si>
  <si>
    <t>29659821</t>
  </si>
  <si>
    <t>BENAVIDES URIBE ISABEL CRISTINA</t>
  </si>
  <si>
    <t>IBENAVI@RA.ROCKWELL.COM</t>
  </si>
  <si>
    <t xml:space="preserve">0570016670311881         </t>
  </si>
  <si>
    <t>80124057</t>
  </si>
  <si>
    <t>ARAQUE GUERRERO JAIME ALEJANDRO</t>
  </si>
  <si>
    <t>AARAQUE@RA.ROCKWELL.COM</t>
  </si>
  <si>
    <t xml:space="preserve">10875187223              </t>
  </si>
  <si>
    <t>53010880</t>
  </si>
  <si>
    <t>BULLA LOPEZ CLAUDIA MARCELA</t>
  </si>
  <si>
    <t xml:space="preserve">382782498                </t>
  </si>
  <si>
    <t>1070966227</t>
  </si>
  <si>
    <t>MESA RODRIGUEZ JUAN DIEGO</t>
  </si>
  <si>
    <t xml:space="preserve">32869372349              </t>
  </si>
  <si>
    <t>25291403</t>
  </si>
  <si>
    <t>PORTILLA CONSTAIN NICOLE BEATRIZ</t>
  </si>
  <si>
    <t>CL 117 B 70 APT 308</t>
  </si>
  <si>
    <t>PROJECT MANAGER -ASM</t>
  </si>
  <si>
    <t xml:space="preserve">21726987448              </t>
  </si>
  <si>
    <t>73576977</t>
  </si>
  <si>
    <t>LEON RODRIGUEZ GEBERT</t>
  </si>
  <si>
    <t>GLEONRO@RA.ROCKWELL.COM</t>
  </si>
  <si>
    <t xml:space="preserve">50437185883              </t>
  </si>
  <si>
    <t>1057575242</t>
  </si>
  <si>
    <t>LADINO VEGA JHOLBERT GEOVANNY</t>
  </si>
  <si>
    <t>JLADINO@RA.ROCKWELL.COM</t>
  </si>
  <si>
    <t xml:space="preserve">18896862355              </t>
  </si>
  <si>
    <t>COMFABOY</t>
  </si>
  <si>
    <t>1127044383</t>
  </si>
  <si>
    <t>LEON ASENSIO JONATHAN</t>
  </si>
  <si>
    <t xml:space="preserve">0550478100030418         </t>
  </si>
  <si>
    <t xml:space="preserve">CCF COMFANORTE </t>
  </si>
  <si>
    <t>LOPEZ GARZON CATALINA</t>
  </si>
  <si>
    <t>PROJECT ADMINISTRATOR</t>
  </si>
  <si>
    <t>1046195</t>
  </si>
  <si>
    <t>BESTEIRO OCHOA JESUS RAFAEL</t>
  </si>
  <si>
    <t>JBESTEI@RA.ROCKWELL.COM</t>
  </si>
  <si>
    <t xml:space="preserve">18004507050              </t>
  </si>
  <si>
    <t>1032388079</t>
  </si>
  <si>
    <t>VARGAS GUTIERREZ JUAN DANIEL</t>
  </si>
  <si>
    <t>TV 88  19A CON 60</t>
  </si>
  <si>
    <t>TECHNICAL LEADER</t>
  </si>
  <si>
    <t xml:space="preserve">0570004970276491         </t>
  </si>
  <si>
    <t>AVILA TORRES CAMILO ANDRES</t>
  </si>
  <si>
    <t>ACCOUNT REPRESENTATIVE</t>
  </si>
  <si>
    <t>CARDONA PEREZ CARLOS ENRIQUE</t>
  </si>
  <si>
    <t>CECARDONA@RA.ROCKWELL.COM</t>
  </si>
  <si>
    <t>P&amp;S MANAGER</t>
  </si>
  <si>
    <t xml:space="preserve">74305783581              </t>
  </si>
  <si>
    <t>104034 - 104034</t>
  </si>
  <si>
    <t>RIERA BENCOMO RODRIGO</t>
  </si>
  <si>
    <t>42112562</t>
  </si>
  <si>
    <t>ARIAS MEDINA YAMILE</t>
  </si>
  <si>
    <t>CUSTOMER SUCCESS MANAGER</t>
  </si>
  <si>
    <t xml:space="preserve">70615344188              </t>
  </si>
  <si>
    <t>1069014</t>
  </si>
  <si>
    <t>PAZ PETIT DAVID ENRIQUE</t>
  </si>
  <si>
    <t>CR 8 # 167 D - 62</t>
  </si>
  <si>
    <t>DPAZ1@RA.ROCKWELL.COM</t>
  </si>
  <si>
    <t>TECHNICAL SALES CONSULTANT (TTC)</t>
  </si>
  <si>
    <t xml:space="preserve">74305405691              </t>
  </si>
  <si>
    <t>104035 - 104035</t>
  </si>
  <si>
    <t>1020417292</t>
  </si>
  <si>
    <t>MAYA QUINTERO ANDRES</t>
  </si>
  <si>
    <t xml:space="preserve">31174204180              </t>
  </si>
  <si>
    <t>1067535</t>
  </si>
  <si>
    <t>DURAN  JESUS EDUARDO</t>
  </si>
  <si>
    <t>Desconocido</t>
  </si>
  <si>
    <t>JDURAN@RA.ROCKWELL.COM</t>
  </si>
  <si>
    <t>BID SPECIALIST</t>
  </si>
  <si>
    <t xml:space="preserve">74306449951              </t>
  </si>
  <si>
    <t>1055521</t>
  </si>
  <si>
    <t>GUEVARA SEQUERA ROLANDO JOSE</t>
  </si>
  <si>
    <t>RJGUEVARA@RA.ROCKWELL.COM</t>
  </si>
  <si>
    <t>REGIONAL SALES MANAGER</t>
  </si>
  <si>
    <t xml:space="preserve">74306369613              </t>
  </si>
  <si>
    <t>6122 - 6122</t>
  </si>
  <si>
    <t>39744202</t>
  </si>
  <si>
    <t>VELASQUEZ RODRIGUEZ EDY ALEXY</t>
  </si>
  <si>
    <t>EDY.VELASQUEZRODRIGUEZ@ROCKWELLAUTOMATION.COM</t>
  </si>
  <si>
    <t>SENIOR TALENT ADVISOR</t>
  </si>
  <si>
    <t xml:space="preserve">001002914847             </t>
  </si>
  <si>
    <t>HERNANDEZ RINCON CESAR AUGUSTO</t>
  </si>
  <si>
    <t>COMMERCIAL ENGINEER PCB</t>
  </si>
  <si>
    <t>104051 - 104051</t>
  </si>
  <si>
    <t>1018425238</t>
  </si>
  <si>
    <t>PIEDRAHITA VELEZ CHRISTIAN EDUARDO</t>
  </si>
  <si>
    <t>CL 166 9 45 TO 6 AP 624</t>
  </si>
  <si>
    <t>CHRISTIAN.PIEDRAHITA@ROCKWELLAUTOMATION.COM</t>
  </si>
  <si>
    <t xml:space="preserve">90629615368              </t>
  </si>
  <si>
    <t>71773168</t>
  </si>
  <si>
    <t>CARRASQUILLA ARANGO JUAN DAVID</t>
  </si>
  <si>
    <t>JUANDAVID.CARRASQUILLAARANGO@ROCKWELLAUTOMATION.COM</t>
  </si>
  <si>
    <t>CAMPUS MANAGER</t>
  </si>
  <si>
    <t xml:space="preserve">10052586098              </t>
  </si>
  <si>
    <t>22468372</t>
  </si>
  <si>
    <t>PAEZ SANJONELO BETTY PATRICIA</t>
  </si>
  <si>
    <t>BETTYPATRICIA.PAEZSANJONELO@ROCKWELLAUTOMATION.COM</t>
  </si>
  <si>
    <t>SYSTEM INTEGRATORS PROGRAM MANAGER</t>
  </si>
  <si>
    <t xml:space="preserve">05252242416              </t>
  </si>
  <si>
    <t>104042 - 104042</t>
  </si>
  <si>
    <t>FAMISANAR</t>
  </si>
  <si>
    <t>1098715380</t>
  </si>
  <si>
    <t>CHACON ACEVEDO LAURA JULIANA</t>
  </si>
  <si>
    <t>LAURA.CHACON@ROCKWELLAUTOMATION.COM</t>
  </si>
  <si>
    <t>PROJECT MANAGER, REVENUE AND BRAND PROTECTION</t>
  </si>
  <si>
    <t xml:space="preserve">009582029905             </t>
  </si>
  <si>
    <t>GUERRERO MONTAÑO GUSTAVO FABIAN</t>
  </si>
  <si>
    <t>SENIOR SOFTWARE ENGINEER</t>
  </si>
  <si>
    <t>15445652</t>
  </si>
  <si>
    <t>ALZATE ARCILA SAUL EFREN</t>
  </si>
  <si>
    <t>CR 75 61 85 AP 2101</t>
  </si>
  <si>
    <t>573185777757</t>
  </si>
  <si>
    <t>SAUL.ALZATEARCILA@ROCKWELLAUTOMATION.COM</t>
  </si>
  <si>
    <t>ENGINEERING TEAM LEAD</t>
  </si>
  <si>
    <t xml:space="preserve">10212575746              </t>
  </si>
  <si>
    <t>GIRALDO COLORADO SANDRA MARCELA</t>
  </si>
  <si>
    <t>RELEASE TRAIN ENGINEER (RTE)</t>
  </si>
  <si>
    <t>71762344</t>
  </si>
  <si>
    <t>MONSALVE VARGAS DAVID ALEJANDRO</t>
  </si>
  <si>
    <t>CL 34 C # 88 B 55</t>
  </si>
  <si>
    <t>3173768451</t>
  </si>
  <si>
    <t>DAVIDALEJANDRO.MONSALVEVARGAS@ROCKWELLAUTOMATION.COM</t>
  </si>
  <si>
    <t xml:space="preserve">10092570304              </t>
  </si>
  <si>
    <t>79643778</t>
  </si>
  <si>
    <t>TORRES TORRES JAIRO ENRIQUE</t>
  </si>
  <si>
    <t>JAIRO.TORRES@ROCKWELLAUTOMATION.COM</t>
  </si>
  <si>
    <t>SAFETY SPECIALIST ASSOCIATE</t>
  </si>
  <si>
    <t xml:space="preserve">0550004000188625         </t>
  </si>
  <si>
    <t>104065 - 104065</t>
  </si>
  <si>
    <t>1017164615</t>
  </si>
  <si>
    <t>SILVA AGUDELO CARLOS ANDRES</t>
  </si>
  <si>
    <t>3003504354</t>
  </si>
  <si>
    <t xml:space="preserve">CMR FALABELLA S.A.            </t>
  </si>
  <si>
    <t xml:space="preserve">111830233433             </t>
  </si>
  <si>
    <t>104037 - 104037</t>
  </si>
  <si>
    <t>8031259</t>
  </si>
  <si>
    <t>RUIZ FLOREZ RAFAEL ANTONIO</t>
  </si>
  <si>
    <t>3507947936</t>
  </si>
  <si>
    <t>RAFAELANTONIO.RUIZFLOREZ@ROCKWELLAUTOMATION.COM</t>
  </si>
  <si>
    <t xml:space="preserve">10052645376              </t>
  </si>
  <si>
    <t>15372073</t>
  </si>
  <si>
    <t>FLOREZ ACEVEDO JULIAN DAVID</t>
  </si>
  <si>
    <t>3007852576</t>
  </si>
  <si>
    <t>JULIANDAVID.FLOREZACEVEDO@ROCKWELLAUTOMATION.COM</t>
  </si>
  <si>
    <t>SCRUM MASTER</t>
  </si>
  <si>
    <t xml:space="preserve">55193184722              </t>
  </si>
  <si>
    <t>CAJAMARCA GIL LUIS MAURICIO</t>
  </si>
  <si>
    <t>SOFTWARE ENGR, PROJECT</t>
  </si>
  <si>
    <t>CARDONA HOYOS ALEJANDRA MARIA</t>
  </si>
  <si>
    <t>1039458034</t>
  </si>
  <si>
    <t>CEBALLOS JIMENEZ KELLY NASYARY</t>
  </si>
  <si>
    <t>CL 41 # 73 - 30 INT 701</t>
  </si>
  <si>
    <t>3007725454</t>
  </si>
  <si>
    <t>KELLY.CEBALLOSJIMENEZ@ROCKWELLAUTOMATION.COM</t>
  </si>
  <si>
    <t xml:space="preserve">61716400378              </t>
  </si>
  <si>
    <t>98716603</t>
  </si>
  <si>
    <t>VARGAS TUBERQUIA RAFAEL ESTEBAN</t>
  </si>
  <si>
    <t>3003750640</t>
  </si>
  <si>
    <t>RAFAELESTEBAN.VARGASTUBERQUIA@ROCKWELLAUTOMATION.COM</t>
  </si>
  <si>
    <t xml:space="preserve">00364226730              </t>
  </si>
  <si>
    <t>8356257</t>
  </si>
  <si>
    <t>ARANGO PALACIO CESAR ALEJANDRO</t>
  </si>
  <si>
    <t>3147402630</t>
  </si>
  <si>
    <t>CESARALEJANDRO.ARANGOPALACIO@ROCKWELLAUTOMATION.COM</t>
  </si>
  <si>
    <t xml:space="preserve">10382387923              </t>
  </si>
  <si>
    <t>1017214574</t>
  </si>
  <si>
    <t>VASQUEZ HERNANDEZ PEDRO IVAN</t>
  </si>
  <si>
    <t>3147206194</t>
  </si>
  <si>
    <t>PEDROIVAN.VASQUEZHERNANDEZ@ROCKWELLAUTOMATION.COM</t>
  </si>
  <si>
    <t>SOFTWARE ENG SYSTEMS</t>
  </si>
  <si>
    <t xml:space="preserve">55100017261              </t>
  </si>
  <si>
    <t>43921183</t>
  </si>
  <si>
    <t>JARAMILLO BERMUDEZ SANDRA MILENA</t>
  </si>
  <si>
    <t>3017849693</t>
  </si>
  <si>
    <t>SANDRAMILENA.JARAMILLOBERMUDEZ@ROCKWELLAUTOMATION.COM</t>
  </si>
  <si>
    <t>PRODUCT OWNER</t>
  </si>
  <si>
    <t xml:space="preserve">31047770079              </t>
  </si>
  <si>
    <t>91533935</t>
  </si>
  <si>
    <t>VALENZUELA SIERRA WILLIAM DARIO</t>
  </si>
  <si>
    <t>1152440465</t>
  </si>
  <si>
    <t>HINCAPIE ARIAS JUAN MANUEL</t>
  </si>
  <si>
    <t>CL 38 64A 87</t>
  </si>
  <si>
    <t>3113573091</t>
  </si>
  <si>
    <t>JUANMANUEL.HINCAPIEARIAS@ROCKWELLAUTOMATION.COM</t>
  </si>
  <si>
    <t>LEAD UX DESIGNER</t>
  </si>
  <si>
    <t xml:space="preserve">24579736000              </t>
  </si>
  <si>
    <t>1152456985</t>
  </si>
  <si>
    <t>MORENO RINCON MARIO JAVIER</t>
  </si>
  <si>
    <t>3167419257</t>
  </si>
  <si>
    <t>MARIOJAVIER.MORENORINCON@ROCKWELLAUTOMATION.COM</t>
  </si>
  <si>
    <t>TEST AUTOMATION ENGINEER</t>
  </si>
  <si>
    <t xml:space="preserve">01600019933              </t>
  </si>
  <si>
    <t>Aporte AFC Itau</t>
  </si>
  <si>
    <t>1152438320</t>
  </si>
  <si>
    <t>ECHAVARRIA RESTREPO MARIA</t>
  </si>
  <si>
    <t>CR 1 # 64 - 61</t>
  </si>
  <si>
    <t>3132974360</t>
  </si>
  <si>
    <t>MARIA.ECHAVARRIA@ROCKWELLAUTOMATION.COM</t>
  </si>
  <si>
    <t>LEAD USER EXPERIENCE DESIGNER</t>
  </si>
  <si>
    <t xml:space="preserve">10832655377              </t>
  </si>
  <si>
    <t>9731158</t>
  </si>
  <si>
    <t>JIMENEZ JARAMILLO ALVARO</t>
  </si>
  <si>
    <t>3006089718</t>
  </si>
  <si>
    <t>AJIMENEZ@ROCKWELLAUTOMATION.COM</t>
  </si>
  <si>
    <t xml:space="preserve">20775858160              </t>
  </si>
  <si>
    <t>1144150245</t>
  </si>
  <si>
    <t>GONZALEZ MUNOZ YERMINSON DONEY</t>
  </si>
  <si>
    <t>3016069427</t>
  </si>
  <si>
    <t>YERMINSON.GONZALEZ@ROCKWELLAUTOMATION.COM</t>
  </si>
  <si>
    <t xml:space="preserve">75297250809              </t>
  </si>
  <si>
    <t>498932</t>
  </si>
  <si>
    <t>TUA DIAZ ESPERANZA DE</t>
  </si>
  <si>
    <t>esperanzadejesus.tuadiaz@rockwellautomation.com</t>
  </si>
  <si>
    <t xml:space="preserve">43030485158              </t>
  </si>
  <si>
    <t>1098649460</t>
  </si>
  <si>
    <t>MEJIA BASTIDAS CARLOS ANDRES</t>
  </si>
  <si>
    <t>cmejias@ra.rockwell.com</t>
  </si>
  <si>
    <t xml:space="preserve">79339397738              </t>
  </si>
  <si>
    <t>1040742983</t>
  </si>
  <si>
    <t>ROZO HOYOS LAURA CAROLINA</t>
  </si>
  <si>
    <t>CL 36 # 63 - 56</t>
  </si>
  <si>
    <t>laura.rozo@rockwellautomation.com</t>
  </si>
  <si>
    <t xml:space="preserve">01600019925              </t>
  </si>
  <si>
    <t>1075231064</t>
  </si>
  <si>
    <t>BOTERO SALAZAR CAMILO HERNANDO</t>
  </si>
  <si>
    <t xml:space="preserve">20065983924              </t>
  </si>
  <si>
    <t>72292772</t>
  </si>
  <si>
    <t>LOPEZ PALACIO JUAN SEBASTIAN</t>
  </si>
  <si>
    <t>juansebastian.lopezpalacio@rockwellautomation.com</t>
  </si>
  <si>
    <t xml:space="preserve">69256711745              </t>
  </si>
  <si>
    <t>1019005630</t>
  </si>
  <si>
    <t>MORENO SANCHEZ DAVID CAMILO</t>
  </si>
  <si>
    <t>David.Moreno@rockwellautomation.com</t>
  </si>
  <si>
    <t xml:space="preserve">17100011379              </t>
  </si>
  <si>
    <t>1090485771</t>
  </si>
  <si>
    <t>CACERES GRANADOS NICOLÁS EDUARDO</t>
  </si>
  <si>
    <t>104010 - 104010</t>
  </si>
  <si>
    <t>1130622393</t>
  </si>
  <si>
    <t>ILLERA BERMUDEZ ANTHONY</t>
  </si>
  <si>
    <t>3154877787</t>
  </si>
  <si>
    <t>Anthony.Illera@rockwellautomation.com</t>
  </si>
  <si>
    <t>PROPOSAL CONSULTANT</t>
  </si>
  <si>
    <t xml:space="preserve">BANCO LULO BANK               </t>
  </si>
  <si>
    <t xml:space="preserve">441455847409             </t>
  </si>
  <si>
    <t>24346479</t>
  </si>
  <si>
    <t>ESPINEL ZULUAGA SANDRA MILENA</t>
  </si>
  <si>
    <t>CRA 82A Nº 6-16 APTO 1124 TR 6</t>
  </si>
  <si>
    <t>3142199098</t>
  </si>
  <si>
    <t>Sandra.Espinel@rockwellautomation.com</t>
  </si>
  <si>
    <t xml:space="preserve">GNB SUDAMERIS S.A.            </t>
  </si>
  <si>
    <t xml:space="preserve">90030612110              </t>
  </si>
  <si>
    <t>1013608013</t>
  </si>
  <si>
    <t>MARTINEZ MOGOLLON ADRIANA MARCELA</t>
  </si>
  <si>
    <t>AdrianaMarcela.Martinez@rockwellautomation.com</t>
  </si>
  <si>
    <t>HR GENERALIST</t>
  </si>
  <si>
    <t xml:space="preserve">488410346008             </t>
  </si>
  <si>
    <t>104005 - 104005</t>
  </si>
  <si>
    <t>1037592678</t>
  </si>
  <si>
    <t>MOLINA ESTRADA ALEJANDRO</t>
  </si>
  <si>
    <t>Alejandro.Molina@rockwellautomation.com</t>
  </si>
  <si>
    <t xml:space="preserve">43651897417              </t>
  </si>
  <si>
    <t>1098694653</t>
  </si>
  <si>
    <t>MEZA MEZA GINA PAOLA</t>
  </si>
  <si>
    <t>Gina.Meza@sensiaglobal.com</t>
  </si>
  <si>
    <t xml:space="preserve">82423423168              </t>
  </si>
  <si>
    <t>COMFENALCO SANTANDER</t>
  </si>
  <si>
    <t>1013600819</t>
  </si>
  <si>
    <t>GARCIA ALFONSO LETTY YISEL</t>
  </si>
  <si>
    <t>3105545662</t>
  </si>
  <si>
    <t>Yissel.Garcia@rockwellautomation.com</t>
  </si>
  <si>
    <t>WORKPLACE SERVICES ADMINISTRATOR</t>
  </si>
  <si>
    <t xml:space="preserve">035560093                </t>
  </si>
  <si>
    <t>104052 - 104052</t>
  </si>
  <si>
    <t>1030669458</t>
  </si>
  <si>
    <t>GORDILLO MARTINEZ DANIEL SANTIAGO</t>
  </si>
  <si>
    <t>3222750168</t>
  </si>
  <si>
    <t>Daniel.Gordillo@rockwellautomation.com</t>
  </si>
  <si>
    <t>PROPOSAL PROCESS ENGINEER</t>
  </si>
  <si>
    <t xml:space="preserve">002470135076             </t>
  </si>
  <si>
    <t>RAMIREZ TOVAR NORA ANGELA</t>
  </si>
  <si>
    <t>1096190137</t>
  </si>
  <si>
    <t>MCNISH FAJARDO CESAR IVAN</t>
  </si>
  <si>
    <t>Cesar.Mcnish@sensiaglobal.com</t>
  </si>
  <si>
    <t xml:space="preserve">ITAU                          </t>
  </si>
  <si>
    <t xml:space="preserve">484851047                </t>
  </si>
  <si>
    <t>PE</t>
  </si>
  <si>
    <t>954026</t>
  </si>
  <si>
    <t>FALCON MILLER GABRIEL</t>
  </si>
  <si>
    <t>Gabriel.Falcon@rockwellautomation.com</t>
  </si>
  <si>
    <t xml:space="preserve">23100014491              </t>
  </si>
  <si>
    <t>1018502234</t>
  </si>
  <si>
    <t>CASAS BROCHERO NICOLAS ANDRES</t>
  </si>
  <si>
    <t>Nicolas.Casas@sensiaglobal.com</t>
  </si>
  <si>
    <t>PROJECT ASSISTANT</t>
  </si>
  <si>
    <t xml:space="preserve">092059880                </t>
  </si>
  <si>
    <t>1001067170</t>
  </si>
  <si>
    <t>BAUTISTA WILCHES KEVIN ALEJANDRO</t>
  </si>
  <si>
    <t>Kevin.Bautista@sensiaglobal.com</t>
  </si>
  <si>
    <t xml:space="preserve">40205303521              </t>
  </si>
  <si>
    <t>3396252</t>
  </si>
  <si>
    <t>LUJAN VELASQUEZ DAVID</t>
  </si>
  <si>
    <t>3176368431</t>
  </si>
  <si>
    <t>david.lujan@rockwellautomation.com</t>
  </si>
  <si>
    <t xml:space="preserve">10597192580              </t>
  </si>
  <si>
    <t>1020800676</t>
  </si>
  <si>
    <t>MENESES GARCÍA MARÍA FERNANDA</t>
  </si>
  <si>
    <t>CL 147 11 64 APTO 104</t>
  </si>
  <si>
    <t>MariaFernanda.Meneses@rockwellautomation.com</t>
  </si>
  <si>
    <t>SR ANALYST TECHNOLOGY</t>
  </si>
  <si>
    <t>104028 - 104028</t>
  </si>
  <si>
    <t>65501562</t>
  </si>
  <si>
    <t>BOLAÑOS ABELLO AURORA</t>
  </si>
  <si>
    <t>3134812495</t>
  </si>
  <si>
    <t>ABolano@ra.rockwell.com</t>
  </si>
  <si>
    <t xml:space="preserve">271532158953             </t>
  </si>
  <si>
    <t>1127941512</t>
  </si>
  <si>
    <t>GIAMPAOLO RODRIGUEZ JHONNY DONATO</t>
  </si>
  <si>
    <t>CR 25 #39 B S 101</t>
  </si>
  <si>
    <t>3115790600</t>
  </si>
  <si>
    <t>Jhonny.Giampaolo@rockwellautomation.com</t>
  </si>
  <si>
    <t xml:space="preserve">27515413222              </t>
  </si>
  <si>
    <t>1010206325</t>
  </si>
  <si>
    <t>CASTAÑEDA GARCÍA EDGARD LEONARDO</t>
  </si>
  <si>
    <t>3143914527</t>
  </si>
  <si>
    <t>EdgardLeonardo.Castaneda@rockwellautomation.com</t>
  </si>
  <si>
    <t>DATA ENGINEER</t>
  </si>
  <si>
    <t xml:space="preserve">24085226164              </t>
  </si>
  <si>
    <t>80168904</t>
  </si>
  <si>
    <t>SANCHEZ MEDINA DIEGO FERNANDO</t>
  </si>
  <si>
    <t>diegofernando.sanchez@rockwellautomation.com</t>
  </si>
  <si>
    <t xml:space="preserve">04024406089              </t>
  </si>
  <si>
    <t>71267830</t>
  </si>
  <si>
    <t>POSADA TORO JUAN SANTIAGO</t>
  </si>
  <si>
    <t>JuanSantiago.Posada@rockwellautomation.com</t>
  </si>
  <si>
    <t>SOFTWARE CUSTOMER SUCCESS MANAGER</t>
  </si>
  <si>
    <t xml:space="preserve">10537498830              </t>
  </si>
  <si>
    <t>1053779582</t>
  </si>
  <si>
    <t>RAMIREZ HENAO JOHN SEBASTIAN</t>
  </si>
  <si>
    <t>CRA 87C 32C 25 APTO 1310</t>
  </si>
  <si>
    <t>JohnSebastian.Ramirez@rockwellautomation.com</t>
  </si>
  <si>
    <t>DEVOPS ENGINEER</t>
  </si>
  <si>
    <t xml:space="preserve">05948254044              </t>
  </si>
  <si>
    <t>1152684974</t>
  </si>
  <si>
    <t>SIERRA ARENAS JHOJASI STIVENSON</t>
  </si>
  <si>
    <t>CR 64 # 25 - 51 P I S O 2</t>
  </si>
  <si>
    <t>Jhojasi.Sierra@rockwellautomation.com</t>
  </si>
  <si>
    <t xml:space="preserve">00130416000200001080     </t>
  </si>
  <si>
    <t>1024535632</t>
  </si>
  <si>
    <t>MUÑOZ PEREIRA PAOLA</t>
  </si>
  <si>
    <t>Paola.Munoz@rockwellautomation.com</t>
  </si>
  <si>
    <t xml:space="preserve">0550480700052248         </t>
  </si>
  <si>
    <t>32299723</t>
  </si>
  <si>
    <t>VELEZ HOLGUIN SANDRA CAROLINA</t>
  </si>
  <si>
    <t>SANDRACAOLINA.VELEZ@rockwellautomation.com</t>
  </si>
  <si>
    <t xml:space="preserve">23450795194              </t>
  </si>
  <si>
    <t>1032375177</t>
  </si>
  <si>
    <t>FUENTES ROBAYO FREDDY</t>
  </si>
  <si>
    <t>Freddy.Fuentes@rockwellautomation.com</t>
  </si>
  <si>
    <t xml:space="preserve">05778859302              </t>
  </si>
  <si>
    <t>1098755547</t>
  </si>
  <si>
    <t>PEREIRA GRIMALDO CARLOS ANDRÉS</t>
  </si>
  <si>
    <t>CarlosAndres.Pereira@rockwellautomation.com</t>
  </si>
  <si>
    <t>SR ENGINEER, SOFTWARE</t>
  </si>
  <si>
    <t xml:space="preserve">210069944                </t>
  </si>
  <si>
    <t>1015419347</t>
  </si>
  <si>
    <t>ROMERO RUBIANO JUAN MATEO</t>
  </si>
  <si>
    <t>juanmateo.romero@rockwellautomation.com</t>
  </si>
  <si>
    <t>TORRES PALENCIA GERMAN</t>
  </si>
  <si>
    <t>BUSINESS PROCESS ANALYST -  ENTERPRISE TRANSFORMATION</t>
  </si>
  <si>
    <t>37842311</t>
  </si>
  <si>
    <t>ALVAREZ CASANOVA MARIA JULIANA</t>
  </si>
  <si>
    <t>MariaJuliana.Alvarez@sensiaglobal.com</t>
  </si>
  <si>
    <t>REGIONAL COMMERCIAL LEAD - SOUTH AMERICA</t>
  </si>
  <si>
    <t xml:space="preserve">60675497451              </t>
  </si>
  <si>
    <t>ZAPATA MEDINA CARLOS ALBERTO</t>
  </si>
  <si>
    <t>Carlos.Zapata@rockwellautomation.com</t>
  </si>
  <si>
    <t xml:space="preserve">0570399370019032         </t>
  </si>
  <si>
    <t>1061753599</t>
  </si>
  <si>
    <t>MARTINEZ NARVAEZ EDGARDO</t>
  </si>
  <si>
    <t>Edgardo.Martinez@rockwellautomation.com</t>
  </si>
  <si>
    <t xml:space="preserve">5912004946               </t>
  </si>
  <si>
    <t>1073238577</t>
  </si>
  <si>
    <t>RODRIGUEZ GOMEZ MAURICIO</t>
  </si>
  <si>
    <t>Mauricio.Rodriguez@rockwellautomation.com</t>
  </si>
  <si>
    <t xml:space="preserve">04800010239              </t>
  </si>
  <si>
    <t>1020810144</t>
  </si>
  <si>
    <t>BERMÚDEZ CASTILLO NICOLAS</t>
  </si>
  <si>
    <t>Nicolas.Bermudez@rockwellautomation.com</t>
  </si>
  <si>
    <t>CLOUD SOFTWARE ENGINEER</t>
  </si>
  <si>
    <t xml:space="preserve">22600013029              </t>
  </si>
  <si>
    <t>1067880947</t>
  </si>
  <si>
    <t>GONZÁLEZ MARTÍNEZ JUAN DAVID</t>
  </si>
  <si>
    <t>CRA 41B 30B 110</t>
  </si>
  <si>
    <t>juandavid.gonzalez@rockwellautomation.com</t>
  </si>
  <si>
    <t xml:space="preserve">68030576822              </t>
  </si>
  <si>
    <t>1075239658</t>
  </si>
  <si>
    <t>TELLO BAHAMON CRISTHIAN CAMILO</t>
  </si>
  <si>
    <t>CL 18B 35 16</t>
  </si>
  <si>
    <t>Cristhian.Tello@sensiaglobal.com</t>
  </si>
  <si>
    <t xml:space="preserve">45703853564              </t>
  </si>
  <si>
    <t>104056 - 104056</t>
  </si>
  <si>
    <t>COMFAMILIAR DEL HUILA</t>
  </si>
  <si>
    <t>1037972735</t>
  </si>
  <si>
    <t>QUICENO GIRALDO JHONATAN</t>
  </si>
  <si>
    <t>jhonatan.quiceno@rockwellautomation.com</t>
  </si>
  <si>
    <t>CLOUD DEVOPS ENGINEER</t>
  </si>
  <si>
    <t xml:space="preserve">54035286937              </t>
  </si>
  <si>
    <t>1053785006</t>
  </si>
  <si>
    <t>YUSEF MEJIA EBTISAM MESADA</t>
  </si>
  <si>
    <t>EbtisamMesada.Yusef@rockwellautomation.com</t>
  </si>
  <si>
    <t xml:space="preserve">077361236                </t>
  </si>
  <si>
    <t>71277757</t>
  </si>
  <si>
    <t>MARTINEZ RESTREPO JUAN ESTEBAN</t>
  </si>
  <si>
    <t>CRA 81B  7A   40</t>
  </si>
  <si>
    <t>juanesteban.martinez@rockwellautomation.com</t>
  </si>
  <si>
    <t>SENIOR SOLUTIONS CLOUD DEVOPS ENGINEER</t>
  </si>
  <si>
    <t xml:space="preserve">01508478506              </t>
  </si>
  <si>
    <t>1075268257</t>
  </si>
  <si>
    <t>CLAVIJO OSORIO DAVID EDUARDO</t>
  </si>
  <si>
    <t>David.Clavijo@rockwellautomation.com</t>
  </si>
  <si>
    <t xml:space="preserve">0550463300070372         </t>
  </si>
  <si>
    <t>1020788891</t>
  </si>
  <si>
    <t>GUALTEROS SOSA JEFFERSON</t>
  </si>
  <si>
    <t>80248129</t>
  </si>
  <si>
    <t>JIMENEZ GUTIERREZ CARLOS ANDRES</t>
  </si>
  <si>
    <t>CarlosAndres.Jimenez@rockwellautomation.com</t>
  </si>
  <si>
    <t xml:space="preserve">0550488420320951         </t>
  </si>
  <si>
    <t>1100396254</t>
  </si>
  <si>
    <t>AGUAS CASTRO LILLY VALESKA</t>
  </si>
  <si>
    <t>LillyValeska.Aguas@rockwellautomation.com</t>
  </si>
  <si>
    <t xml:space="preserve">67820401953              </t>
  </si>
  <si>
    <t>104008 - 104008</t>
  </si>
  <si>
    <t>1144201363</t>
  </si>
  <si>
    <t>OCAMPO CONCHA DANIEL STEVEEN</t>
  </si>
  <si>
    <t xml:space="preserve">072003222                </t>
  </si>
  <si>
    <t>10308549</t>
  </si>
  <si>
    <t>HIDALGO MUÑOZ IVAN</t>
  </si>
  <si>
    <t>IVAN.HIDALGO@rockwellautomation.com</t>
  </si>
  <si>
    <t xml:space="preserve">27718474863              </t>
  </si>
  <si>
    <t>1046668408</t>
  </si>
  <si>
    <t>CALDERÓN ESCOBAR JUAN CAMILO</t>
  </si>
  <si>
    <t>JuanCamilo.Calderon@rockwellautomation.com</t>
  </si>
  <si>
    <t xml:space="preserve">34479321967              </t>
  </si>
  <si>
    <t>1061750750</t>
  </si>
  <si>
    <t>TERÁN DIAZ LAURA ISABEL</t>
  </si>
  <si>
    <t>LauraIsabel.Teran@rockwellautomation.com</t>
  </si>
  <si>
    <t xml:space="preserve">19150139018              </t>
  </si>
  <si>
    <t>1128407650</t>
  </si>
  <si>
    <t>RESTREPO MONCADA FREDY GONZALO</t>
  </si>
  <si>
    <t>FredyGonzalo.Restrepo@rockwellautomation.com</t>
  </si>
  <si>
    <t>SENIOR BUSINESS ANALYST - CUSTOMER EXPERIENCE</t>
  </si>
  <si>
    <t xml:space="preserve">93545618743              </t>
  </si>
  <si>
    <t>10294114</t>
  </si>
  <si>
    <t>CONSTAIN DAZA ALEXANDER</t>
  </si>
  <si>
    <t>Alexander.Constain@rockwellautomation.com</t>
  </si>
  <si>
    <t xml:space="preserve">632128658                </t>
  </si>
  <si>
    <t>BUENO VANEGAS RUBEN</t>
  </si>
  <si>
    <t>1037658878</t>
  </si>
  <si>
    <t>MARIN ZAPATA ESNEIDER AUGUSTO</t>
  </si>
  <si>
    <t>Esneider.Marin@rockwellautomation.com</t>
  </si>
  <si>
    <t xml:space="preserve">27486954979              </t>
  </si>
  <si>
    <t>1038410562</t>
  </si>
  <si>
    <t>VASQUEZ GIRALDO ALEJANDRA</t>
  </si>
  <si>
    <t>Alejandra.Vasquez@rockwellautomation.com</t>
  </si>
  <si>
    <t xml:space="preserve">00499135661              </t>
  </si>
  <si>
    <t>91519943</t>
  </si>
  <si>
    <t>RIVERA  DIEGO ANDRES</t>
  </si>
  <si>
    <t>PROPOSAL ENGINEER SENSIA</t>
  </si>
  <si>
    <t>71787599</t>
  </si>
  <si>
    <t>ESTRADA CORREA JOHN DAYRON</t>
  </si>
  <si>
    <t>MEDELLIN</t>
  </si>
  <si>
    <t>JohnDayron.Estrada@rockwellautomation.com</t>
  </si>
  <si>
    <t xml:space="preserve">93311899846              </t>
  </si>
  <si>
    <t>1033655109</t>
  </si>
  <si>
    <t>ZAPATA CORTÍNEZ JORGE IVÁN</t>
  </si>
  <si>
    <t>JorgeIvan.Zapata@rockwellautomation.com</t>
  </si>
  <si>
    <t xml:space="preserve">37783434297              </t>
  </si>
  <si>
    <t>1098790676</t>
  </si>
  <si>
    <t>ALBARRACÍN CASTILLO JUAN JOSÉ</t>
  </si>
  <si>
    <t>JuanJose.Albarracin@rockwellautomation.com</t>
  </si>
  <si>
    <t>TECHNICAL LEADER, CODE MANAGEMENT AND AUTOMATION</t>
  </si>
  <si>
    <t xml:space="preserve">03100084855              </t>
  </si>
  <si>
    <t>1053796847</t>
  </si>
  <si>
    <t>OSORIO RAMOS DAVID</t>
  </si>
  <si>
    <t>CR 16 29 61</t>
  </si>
  <si>
    <t>David.Osorio@sensiaglobal.com</t>
  </si>
  <si>
    <t xml:space="preserve">75781746185              </t>
  </si>
  <si>
    <t>COMFAMILIAR RISARALDA</t>
  </si>
  <si>
    <t>80169210</t>
  </si>
  <si>
    <t>RICO TURCA MICHAEL ANDRES</t>
  </si>
  <si>
    <t>CL 2G 41 14</t>
  </si>
  <si>
    <t>MRico1@ra.rockwell.com</t>
  </si>
  <si>
    <t xml:space="preserve">0550488405689107         </t>
  </si>
  <si>
    <t>104021 - 104021</t>
  </si>
  <si>
    <t>53064927</t>
  </si>
  <si>
    <t>ALDANA FERNANDEZ NAYIVE EUGENIA</t>
  </si>
  <si>
    <t>CAR 14 B 161 89</t>
  </si>
  <si>
    <t>Nayive.Aldana@rockwellautomation.com</t>
  </si>
  <si>
    <t xml:space="preserve">03162215638              </t>
  </si>
  <si>
    <t>32243460</t>
  </si>
  <si>
    <t>BUITRAGO VÁSQUEZ ALEJANDRA</t>
  </si>
  <si>
    <t>Alejandra.Buitrago@rockwellautomation.com</t>
  </si>
  <si>
    <t>1020475163</t>
  </si>
  <si>
    <t>MURILLO AREIZA ANDERSON DANIEL</t>
  </si>
  <si>
    <t>AndersonDaniel.Murillo@rockwellautomation.com</t>
  </si>
  <si>
    <t xml:space="preserve">91213073635              </t>
  </si>
  <si>
    <t>1036965733</t>
  </si>
  <si>
    <t>GRAJALES ALZATE ANDERSON DANIEL</t>
  </si>
  <si>
    <t>AndersonDaniel.Grajales@rockwellautomation.com</t>
  </si>
  <si>
    <t xml:space="preserve">00889935235              </t>
  </si>
  <si>
    <t>1015400245</t>
  </si>
  <si>
    <t>FORERO ZORRO CINDY LORENA</t>
  </si>
  <si>
    <t>CINDYLORENA.FORERO@rockwellautomation.com</t>
  </si>
  <si>
    <t xml:space="preserve">63923321391              </t>
  </si>
  <si>
    <t>1098619130</t>
  </si>
  <si>
    <t>DURÁN DURAN DIEGO ERLEY</t>
  </si>
  <si>
    <t>DiegoErley.Duran@rockwellautomation.com</t>
  </si>
  <si>
    <t xml:space="preserve">392009438                </t>
  </si>
  <si>
    <t>11440184</t>
  </si>
  <si>
    <t>TRIANA FARFAN JAIME RODRIGO</t>
  </si>
  <si>
    <t>JaimeRodrigo.Triana@rockwellautomation.com</t>
  </si>
  <si>
    <t xml:space="preserve">0382397867               </t>
  </si>
  <si>
    <t>1040755111</t>
  </si>
  <si>
    <t>ECHEVERRI HOYOS JUAN PABLO</t>
  </si>
  <si>
    <t>CL 25A 50B 05</t>
  </si>
  <si>
    <t>JuanPablo.Echeverri@rockwellautomation.com</t>
  </si>
  <si>
    <t xml:space="preserve">24500019995              </t>
  </si>
  <si>
    <t>1032475482</t>
  </si>
  <si>
    <t>HERRERA CORTES ANDRES</t>
  </si>
  <si>
    <t>aherrer4@ra.rockwell.com</t>
  </si>
  <si>
    <t>MOM TECHNICAL LEADER</t>
  </si>
  <si>
    <t xml:space="preserve">606177392                </t>
  </si>
  <si>
    <t>104012 - 104012</t>
  </si>
  <si>
    <t>43985419</t>
  </si>
  <si>
    <t>OSORIO MONROY GLORIA CECILIA</t>
  </si>
  <si>
    <t>GloriaCecilia.Osorio@rockwellautomation.com</t>
  </si>
  <si>
    <t>1036676629</t>
  </si>
  <si>
    <t>OSSA ECHEVERRI DEISY CAROLINA</t>
  </si>
  <si>
    <t>DeisyCarolina.Ossa@rockwellautomation.com</t>
  </si>
  <si>
    <t xml:space="preserve">382692366                </t>
  </si>
  <si>
    <t>1020425157</t>
  </si>
  <si>
    <t>PÉREZ CEBALLOS KATHERIN JULIET</t>
  </si>
  <si>
    <t>KatherinJuliet.Perez@rockwellautomation.com</t>
  </si>
  <si>
    <t xml:space="preserve">55153044502              </t>
  </si>
  <si>
    <t>1104135244</t>
  </si>
  <si>
    <t>ANGARITA PERTUZ JOSE DAVID</t>
  </si>
  <si>
    <t xml:space="preserve">CUCUTA                        </t>
  </si>
  <si>
    <t>JoseDavid.Angarita@rockwellautomation.com</t>
  </si>
  <si>
    <t xml:space="preserve">855163030655             </t>
  </si>
  <si>
    <t>1127619088</t>
  </si>
  <si>
    <t>FERNANDEZ SUAREZ STIVEN JOSE</t>
  </si>
  <si>
    <t>StivenJose.Fernandez@rockwellautomation.com</t>
  </si>
  <si>
    <t xml:space="preserve">58993476208              </t>
  </si>
  <si>
    <t>52902520</t>
  </si>
  <si>
    <t>SÁENZ AGUDELO ADRIANA LISETH</t>
  </si>
  <si>
    <t>CL 15A N38 25</t>
  </si>
  <si>
    <t>ASAENZA@RA.ROCKWELL.COM</t>
  </si>
  <si>
    <t>CHANNEL SERVICES LEADER - ANDEAN REGION</t>
  </si>
  <si>
    <t xml:space="preserve">637274309                </t>
  </si>
  <si>
    <t>OCAMPO RENGIFO MAURICIO EDUARDO</t>
  </si>
  <si>
    <t>1036955243</t>
  </si>
  <si>
    <t>ZULUAGA PINEDA MARÍA CLARA</t>
  </si>
  <si>
    <t>Mariaclara.Zuluaga@rockwellautomation.com</t>
  </si>
  <si>
    <t>SR USER INTERFACE DESIGNER</t>
  </si>
  <si>
    <t xml:space="preserve">24578183261              </t>
  </si>
  <si>
    <t>1040749901</t>
  </si>
  <si>
    <t>LOPEZ MENDOZA YENY STEFFANY</t>
  </si>
  <si>
    <t>YenySteffany.Lopez@rockwellautomation.com</t>
  </si>
  <si>
    <t xml:space="preserve">018615857205             </t>
  </si>
  <si>
    <t>Apor AFC Ban Caj Social</t>
  </si>
  <si>
    <t>1036964941</t>
  </si>
  <si>
    <t>BAENA MARTÍNEZ JUAN PABLO</t>
  </si>
  <si>
    <t>JuanPablo.Baena@rockwellautomation.com</t>
  </si>
  <si>
    <t xml:space="preserve">41252972755              </t>
  </si>
  <si>
    <t>15370976</t>
  </si>
  <si>
    <t>ROLDÁN PÉREZ DANIEL FELIPE</t>
  </si>
  <si>
    <t>DanielFelipe.Roldan@rockwellautomation.com</t>
  </si>
  <si>
    <t xml:space="preserve">00976124871              </t>
  </si>
  <si>
    <t>BARBA GUERRA MANUELA</t>
  </si>
  <si>
    <t>1102864229</t>
  </si>
  <si>
    <t>CAMPO OSORIO YEINIS PAOLA</t>
  </si>
  <si>
    <t>YeinisPaola.Campo@rockwellautomation.com</t>
  </si>
  <si>
    <t xml:space="preserve">36688237747              </t>
  </si>
  <si>
    <t>1143344072</t>
  </si>
  <si>
    <t>CORTÉS SALTARIN ERWIN GUILLERMO</t>
  </si>
  <si>
    <t>ErwinGuillermo.Cortes@rockwellautomation.com</t>
  </si>
  <si>
    <t xml:space="preserve">112010319115             </t>
  </si>
  <si>
    <t>43562043</t>
  </si>
  <si>
    <t>RAMÍREZ LONDOÑO DINA MARIBEL</t>
  </si>
  <si>
    <t>DinaMaribel.Ramirez@rockwellautomation.com</t>
  </si>
  <si>
    <t xml:space="preserve">10832626311              </t>
  </si>
  <si>
    <t>1013672145</t>
  </si>
  <si>
    <t>ABELLA BEJARANO BRIEN LEONARDO</t>
  </si>
  <si>
    <t>Brien.Abella@rockwellautomation.com</t>
  </si>
  <si>
    <t xml:space="preserve">4662020192               </t>
  </si>
  <si>
    <t>1024507492</t>
  </si>
  <si>
    <t>BARRERA SUAREZ LUIS GUILLERMO</t>
  </si>
  <si>
    <t>LuisGuillermo.Barrera@rockwellautomation.com</t>
  </si>
  <si>
    <t>SYSTEMS INTEGRATION CONSULTANT</t>
  </si>
  <si>
    <t xml:space="preserve">901256370                </t>
  </si>
  <si>
    <t>1018442031</t>
  </si>
  <si>
    <t>CORREA MIRANDA CAROLINA</t>
  </si>
  <si>
    <t>carolina.correa@rockwellautomation.com</t>
  </si>
  <si>
    <t>TRADE COMPLIANCE PLANNER</t>
  </si>
  <si>
    <t xml:space="preserve">40212054862              </t>
  </si>
  <si>
    <t>1098623174</t>
  </si>
  <si>
    <t>TIBOCHA PEINADO JOHN HENRY</t>
  </si>
  <si>
    <t>JohnHenry.Tibocha@sensiaglobal.com</t>
  </si>
  <si>
    <t>MEASUREMENT TECHNICAL LEADER</t>
  </si>
  <si>
    <t xml:space="preserve">296180748                </t>
  </si>
  <si>
    <t>1098646909</t>
  </si>
  <si>
    <t>PARADA SANTOS OSCAR GERARDO</t>
  </si>
  <si>
    <t>OscarGerardo.Parada@rockwellautomation.com</t>
  </si>
  <si>
    <t xml:space="preserve">81478629281              </t>
  </si>
  <si>
    <t>1020749778</t>
  </si>
  <si>
    <t>RIVADENEIRA ACEVEDO JORGE ALBERTO</t>
  </si>
  <si>
    <t>DIGITAL BUSINESS ENGAGEMENT &amp; DEVELOPMENT, SR. SPECIALIST</t>
  </si>
  <si>
    <t xml:space="preserve">61203241762              </t>
  </si>
  <si>
    <t>104032 - 104032</t>
  </si>
  <si>
    <t>1061749466</t>
  </si>
  <si>
    <t>TOVAR FREIRE MIGUEL ANGEL</t>
  </si>
  <si>
    <t>MiguelAngel.Tovar@rockwellautomation.com</t>
  </si>
  <si>
    <t xml:space="preserve">26196742025              </t>
  </si>
  <si>
    <t>1152710322</t>
  </si>
  <si>
    <t>OSPINA VERGARA MAURICIO</t>
  </si>
  <si>
    <t>Mauricio.Ospina@rockwellautomation.com</t>
  </si>
  <si>
    <t xml:space="preserve">21800022697              </t>
  </si>
  <si>
    <t>1033768580</t>
  </si>
  <si>
    <t>FERNÁNDEZ GONZÁLEZ EDSON ROMARIO</t>
  </si>
  <si>
    <t>EDSONROMARIO.GONZALEZ@ROCKWELLAUTOMATION.COM</t>
  </si>
  <si>
    <t xml:space="preserve">04536986958              </t>
  </si>
  <si>
    <t>32209912</t>
  </si>
  <si>
    <t>LONDOÑO GÓMEZ CAROLINA</t>
  </si>
  <si>
    <t>Carolina.Londono@rockwellautomation.com</t>
  </si>
  <si>
    <t xml:space="preserve">00715717778              </t>
  </si>
  <si>
    <t>98636676</t>
  </si>
  <si>
    <t>BETANCUR URIBE JUAN FELIPE</t>
  </si>
  <si>
    <t>JuanFelipe.Betancur@rockwellautomation.com</t>
  </si>
  <si>
    <t>SENIOR CLOUD SOFTWARE ENGINEER</t>
  </si>
  <si>
    <t xml:space="preserve">00514257264              </t>
  </si>
  <si>
    <t>1037608300</t>
  </si>
  <si>
    <t>QUINTERO CASTAÑEDA LAURA ALEJANDRA</t>
  </si>
  <si>
    <t>LauraAlejandra.Quintero@rockwellautomation.com</t>
  </si>
  <si>
    <t xml:space="preserve">27748026521              </t>
  </si>
  <si>
    <t>1014257439</t>
  </si>
  <si>
    <t>LÓPEZ ELEJALDE LADY JOHANNA</t>
  </si>
  <si>
    <t>TRAINING AND CONTRACTS COORDINATOR</t>
  </si>
  <si>
    <t>79745119</t>
  </si>
  <si>
    <t>VIVAS SANCHEZ PEDRO JOAQUIN</t>
  </si>
  <si>
    <t>Pedro.Vivas@sensiaglobal.com</t>
  </si>
  <si>
    <t>REGIONAL DIGITAL ALLIANCES SALES MGR. LAR</t>
  </si>
  <si>
    <t xml:space="preserve">0821015765               </t>
  </si>
  <si>
    <t>104036 - 104036</t>
  </si>
  <si>
    <t>71365863</t>
  </si>
  <si>
    <t>VEGA ESTRADA LUIS FELIPE</t>
  </si>
  <si>
    <t>LuisFelipe.Vega@rockwellautomation.com</t>
  </si>
  <si>
    <t xml:space="preserve">859001423                </t>
  </si>
  <si>
    <t>10295912</t>
  </si>
  <si>
    <t>SANTACRUZ AHUMADA ANCIZAR</t>
  </si>
  <si>
    <t>ANCIZAR.SANTACRUZ@rockwellautomation.com</t>
  </si>
  <si>
    <t xml:space="preserve">17173372981              </t>
  </si>
  <si>
    <t>CARO ARANGO ANDRES FELIPE</t>
  </si>
  <si>
    <t xml:space="preserve">MEDELLIN                      </t>
  </si>
  <si>
    <t>1152194170</t>
  </si>
  <si>
    <t>DAVID USUGA SIRLEY JOHANA</t>
  </si>
  <si>
    <t>SirleyJohana.David@rockwellautomation.com</t>
  </si>
  <si>
    <t xml:space="preserve">31070108740              </t>
  </si>
  <si>
    <t>4710855</t>
  </si>
  <si>
    <t>COOPER  WILLIAM</t>
  </si>
  <si>
    <t>William.Cooper@rockwellautomation.com</t>
  </si>
  <si>
    <t xml:space="preserve">31962242301              </t>
  </si>
  <si>
    <t>1116270008</t>
  </si>
  <si>
    <t>BETANCOURTH TABORDA ALEXANDRA</t>
  </si>
  <si>
    <t>Alexandra.Betancourth@rockwellautomation.com</t>
  </si>
  <si>
    <t xml:space="preserve">556296457                </t>
  </si>
  <si>
    <t>94493912</t>
  </si>
  <si>
    <t>CHING GAIN CARLOS ERNESTO</t>
  </si>
  <si>
    <t>3167423366</t>
  </si>
  <si>
    <t>Carlos.Ching@sensiaglobal.com</t>
  </si>
  <si>
    <t xml:space="preserve">37818012935              </t>
  </si>
  <si>
    <t>1001527916</t>
  </si>
  <si>
    <t>SÁNCHEZ FRANCO CATERINE</t>
  </si>
  <si>
    <t>Caterine.Sanchez@rockwellautomation.com</t>
  </si>
  <si>
    <t>1112221904</t>
  </si>
  <si>
    <t>VASQUEZ CASTELLANOS INGRID TATIANA</t>
  </si>
  <si>
    <t>IngridTatiana.Vasquez@rockwellautomation.com</t>
  </si>
  <si>
    <t xml:space="preserve">86431367671              </t>
  </si>
  <si>
    <t>1144202448</t>
  </si>
  <si>
    <t>FERNANDEZ MOLANO CLAUDIA MARCELA</t>
  </si>
  <si>
    <t>ClaudiaMarcela.Fernandez@rockwellautomation.com</t>
  </si>
  <si>
    <t xml:space="preserve">91297690570              </t>
  </si>
  <si>
    <t>1083021115</t>
  </si>
  <si>
    <t>CERVANTES MONTERO ELIAS</t>
  </si>
  <si>
    <t>Elias.Cervantes@rockwellautomation.com</t>
  </si>
  <si>
    <t xml:space="preserve">151697943                </t>
  </si>
  <si>
    <t>COMBARRANQUILLA</t>
  </si>
  <si>
    <t>1073383424</t>
  </si>
  <si>
    <t>ESPEJO SASA JULIAN DAVID</t>
  </si>
  <si>
    <t>JulianDavid.Espejo@rockwellautomation.com</t>
  </si>
  <si>
    <t>FULFILLMENT PLANNER</t>
  </si>
  <si>
    <t xml:space="preserve">16819202854              </t>
  </si>
  <si>
    <t>9861739</t>
  </si>
  <si>
    <t>CALDERON IDÁRRAGA TITO ALEJANDRO</t>
  </si>
  <si>
    <t>TitoAlejandro.Calderon@rockwellautomation.com</t>
  </si>
  <si>
    <t xml:space="preserve">74555948151              </t>
  </si>
  <si>
    <t>52428310</t>
  </si>
  <si>
    <t>URUENA ROMERO SANDRA PATRICIA</t>
  </si>
  <si>
    <t>SandraPatricia.Uruena@rockwellautomation.com</t>
  </si>
  <si>
    <t xml:space="preserve">0908030653               </t>
  </si>
  <si>
    <t>80872610</t>
  </si>
  <si>
    <t>ANGULO ARTUNDUAGA LUIS FERNANDO</t>
  </si>
  <si>
    <t>LuisFernando.Angulo@rockwellautomation.com</t>
  </si>
  <si>
    <t xml:space="preserve">809803794                </t>
  </si>
  <si>
    <t>14695969</t>
  </si>
  <si>
    <t>VALDERRAMA RIVERA ANGEL</t>
  </si>
  <si>
    <t>TECHNICAL TEAM LEAD</t>
  </si>
  <si>
    <t xml:space="preserve">82127969261              </t>
  </si>
  <si>
    <t>1130622333</t>
  </si>
  <si>
    <t>CASTANO LONDONO ANGELA MARCELA</t>
  </si>
  <si>
    <t>AngelaMarcela.Castano@rockwellautomation.com</t>
  </si>
  <si>
    <t>SYSTEM AND PROCESS LEAD</t>
  </si>
  <si>
    <t xml:space="preserve">18044222317              </t>
  </si>
  <si>
    <t>52515611</t>
  </si>
  <si>
    <t>DURAN RUIZ MAGDA CRISTINA</t>
  </si>
  <si>
    <t>REGIONAL MANAGER QHSE</t>
  </si>
  <si>
    <t>1053837737</t>
  </si>
  <si>
    <t>ARBOLEDA BETANCUR DANIEL AUGUSTO</t>
  </si>
  <si>
    <t>DanielAugusto.Arboleda@rockwellautomation.com</t>
  </si>
  <si>
    <t xml:space="preserve">86071028498              </t>
  </si>
  <si>
    <t>1014284696</t>
  </si>
  <si>
    <t>HENAO PINTO CRISTIAN DAVID</t>
  </si>
  <si>
    <t>3183996853</t>
  </si>
  <si>
    <t>CRISTIANDAVID.HENAOPINTO@ROCKWELLAUTOMATION.COM</t>
  </si>
  <si>
    <t xml:space="preserve">8212022699               </t>
  </si>
  <si>
    <t>1152187420</t>
  </si>
  <si>
    <t>GARCIA GÓMEZ JHONY ALEXANDER</t>
  </si>
  <si>
    <t xml:space="preserve">NU COLOMBIA COMPAÑIA FINAN    </t>
  </si>
  <si>
    <t xml:space="preserve">69210650                 </t>
  </si>
  <si>
    <t>1015425043</t>
  </si>
  <si>
    <t>GUTIERREZ CASALLAS RAFAEL</t>
  </si>
  <si>
    <t>Rafael.Gutierrez@rockwellautomation.com</t>
  </si>
  <si>
    <t>SENIOR DESIGNER, USER EXPERIENCE</t>
  </si>
  <si>
    <t>64702120</t>
  </si>
  <si>
    <t>VASQUEZ LARIOS SHELLY MAYID</t>
  </si>
  <si>
    <t>Shelly.Vasquez@rockwellautomation.com</t>
  </si>
  <si>
    <t>OFFICE MANAGER</t>
  </si>
  <si>
    <t xml:space="preserve">00686349489              </t>
  </si>
  <si>
    <t>7178055</t>
  </si>
  <si>
    <t>GONGORA GONZALEZ CESAR AUGUSTO</t>
  </si>
  <si>
    <t>Cesar.Gongora@sensiaglobal.com</t>
  </si>
  <si>
    <t>ENVIRON/HEALTH/SAFETY SPECIALIST</t>
  </si>
  <si>
    <t xml:space="preserve">291221769                </t>
  </si>
  <si>
    <t>1152717873</t>
  </si>
  <si>
    <t>GARCIA MUÑOZ JUAN ESTEBAN</t>
  </si>
  <si>
    <t>JuanEsteban.Garcia@rockwellautomation.com</t>
  </si>
  <si>
    <t xml:space="preserve">91221524930              </t>
  </si>
  <si>
    <t>7632754</t>
  </si>
  <si>
    <t>CADAVID PASCUALES LEONARDO RAFAEL</t>
  </si>
  <si>
    <t>LeonardoRafael.Cadavid@rockwellautomation.com</t>
  </si>
  <si>
    <t xml:space="preserve">141763552                </t>
  </si>
  <si>
    <t>1014263539</t>
  </si>
  <si>
    <t>MARTINEZ RUIZ JHOAN MANUEL</t>
  </si>
  <si>
    <t>JhoanManuel.Martinez@rockwellautomation.com</t>
  </si>
  <si>
    <t>NETWORK ENGINEER</t>
  </si>
  <si>
    <t xml:space="preserve">007770342165             </t>
  </si>
  <si>
    <t>1006117174</t>
  </si>
  <si>
    <t>PARRA ROJAS FERNANDA</t>
  </si>
  <si>
    <t>Fernanda.Parra@rockwellautomation.com</t>
  </si>
  <si>
    <t xml:space="preserve">61973612734              </t>
  </si>
  <si>
    <t>1045757981</t>
  </si>
  <si>
    <t>BARRIOS BENAVIDES CARMEN LUCÍA</t>
  </si>
  <si>
    <t>CarmenLucia.Barrios@rockwellautomation.com</t>
  </si>
  <si>
    <t xml:space="preserve">096036701                </t>
  </si>
  <si>
    <t>1032477985</t>
  </si>
  <si>
    <t>BURBANO QUENAN JAMES MAURICIO</t>
  </si>
  <si>
    <t>JamesMauricio.Burbano@rockwellautomation.com</t>
  </si>
  <si>
    <t xml:space="preserve">59600025044              </t>
  </si>
  <si>
    <t>1124067723</t>
  </si>
  <si>
    <t>SARDOTH HERNÁNDEZ EVER ENRIQUE</t>
  </si>
  <si>
    <t>EverEnriqueJunior.Sardoth@rockwellautomation.com</t>
  </si>
  <si>
    <t xml:space="preserve">09685760999              </t>
  </si>
  <si>
    <t>CCF DE LA GUAJIRA</t>
  </si>
  <si>
    <t>1000751814</t>
  </si>
  <si>
    <t>LOPEZ GUTIERREZ JUAN FELIPE</t>
  </si>
  <si>
    <t>JuanFelipe.Lopez@rockwellautomation.com</t>
  </si>
  <si>
    <t xml:space="preserve">0859000200000920         </t>
  </si>
  <si>
    <t>1003516139</t>
  </si>
  <si>
    <t>CRISTANCHO MEDINA JOHAN ALEJANDRO</t>
  </si>
  <si>
    <t>JohanAlejandro.CristanchoMedina@rockwellautomation.com</t>
  </si>
  <si>
    <t xml:space="preserve">69300003653              </t>
  </si>
  <si>
    <t>1024587912</t>
  </si>
  <si>
    <t>CHAVEZ BARRANTES LUZ MARINA</t>
  </si>
  <si>
    <t>LuzMarina.Chavez@rockwellautomation.com</t>
  </si>
  <si>
    <t>PROJECT TECHNICIAN</t>
  </si>
  <si>
    <t xml:space="preserve">025141110                </t>
  </si>
  <si>
    <t>1148697464</t>
  </si>
  <si>
    <t>MARTÍNEZ VALDEZ CRISTIAN GIOVANNY</t>
  </si>
  <si>
    <t>3234510037</t>
  </si>
  <si>
    <t xml:space="preserve">09752311461              </t>
  </si>
  <si>
    <t>1023905256</t>
  </si>
  <si>
    <t>PRIETO ROMERO DALMA GISELA</t>
  </si>
  <si>
    <t>DalmaGisela.Prieto@rockwellautomation.com</t>
  </si>
  <si>
    <t>USER EXPERIENCE SPECIALIST</t>
  </si>
  <si>
    <t>1098832030</t>
  </si>
  <si>
    <t>TRUJILLO AMAYA PEDRO MIGUEL</t>
  </si>
  <si>
    <t>PedroMiguel.Trujillo@rockwellautomation.com</t>
  </si>
  <si>
    <t>TALENT ADVISOR SPECIALIST - LATAM</t>
  </si>
  <si>
    <t xml:space="preserve">07800027696              </t>
  </si>
  <si>
    <t>1019122055</t>
  </si>
  <si>
    <t>CUESTAS IBAÑEZ CHRISTIAN CAMILO</t>
  </si>
  <si>
    <t>ChristianCamilo.Cuestas@rockwellautomation.com</t>
  </si>
  <si>
    <t xml:space="preserve">10100001649              </t>
  </si>
  <si>
    <t>1007769970</t>
  </si>
  <si>
    <t>CHACON ACEVEDO JUAN PABLO</t>
  </si>
  <si>
    <t>JuanPablo.Chacon@rockwellautomation.com</t>
  </si>
  <si>
    <t>MARKET ACCESS ANALYST</t>
  </si>
  <si>
    <t xml:space="preserve">0550488445750521         </t>
  </si>
  <si>
    <t>1128462150</t>
  </si>
  <si>
    <t>CANO CRUZ JUAN DIEGO</t>
  </si>
  <si>
    <t>JuanDiego.Cano@rockwellautomation.com</t>
  </si>
  <si>
    <t>SITE RELIABILITY ENGINEER</t>
  </si>
  <si>
    <t xml:space="preserve">24500025910              </t>
  </si>
  <si>
    <t>1098647949</t>
  </si>
  <si>
    <t>MEJÍA OSSA FABIAN ANDRES</t>
  </si>
  <si>
    <t>FabianAndres.Mejia@sensiaglobal.com</t>
  </si>
  <si>
    <t xml:space="preserve">600504914                </t>
  </si>
  <si>
    <t>1015405069</t>
  </si>
  <si>
    <t>SARMIENTO CIFUENTES LILI JOHANNA</t>
  </si>
  <si>
    <t>LiliJohanna.Sarmiento@sensiaglobal.com</t>
  </si>
  <si>
    <t xml:space="preserve">58952518656              </t>
  </si>
  <si>
    <t>1014190417</t>
  </si>
  <si>
    <t>VELASCO AGUILAR SYNDI MILENA</t>
  </si>
  <si>
    <t>SyndiMilena.VelascoAguilar@rockwellautomation.com</t>
  </si>
  <si>
    <t>SERVICES BDL (BUSINESS DEVELOPMENT LEADER)</t>
  </si>
  <si>
    <t xml:space="preserve">1007399614               </t>
  </si>
  <si>
    <t>71727442</t>
  </si>
  <si>
    <t>MEJIA TORRES ADEL</t>
  </si>
  <si>
    <t>Adel.Mejia@sensiaglobal.com</t>
  </si>
  <si>
    <t>PRODUCTION OPERATIONS ENGINEER</t>
  </si>
  <si>
    <t xml:space="preserve">550256000652451          </t>
  </si>
  <si>
    <t>1061539391</t>
  </si>
  <si>
    <t>CASAMACHIN IBARRA JUAN DAVID</t>
  </si>
  <si>
    <t>BARRIO LUZ DEL PARAÍSO</t>
  </si>
  <si>
    <t>JuanDavid.Casamachin@sensiaglobal.com</t>
  </si>
  <si>
    <t xml:space="preserve">26100006036              </t>
  </si>
  <si>
    <t>1140877104</t>
  </si>
  <si>
    <t>JIMENO PADILLA MARIA FERNANDA</t>
  </si>
  <si>
    <t>MariaFernanda.JimenoPadilla@rockwellautomation.com</t>
  </si>
  <si>
    <t>JUNIOR CUSTOMER SUCCESS MANAGER – ONBOARDING</t>
  </si>
  <si>
    <t xml:space="preserve">91210769311              </t>
  </si>
  <si>
    <t>1020429947</t>
  </si>
  <si>
    <t>MARTINEZ MARTINEZ JOSE JULIAN</t>
  </si>
  <si>
    <t>JOSEJULIAN.MARTINEZMARTINEZ@ROCKWELLAUTOMATION.COM</t>
  </si>
  <si>
    <t xml:space="preserve">31153903347              </t>
  </si>
  <si>
    <t>1053807109</t>
  </si>
  <si>
    <t>TABARES ARANGO JHON EDISON</t>
  </si>
  <si>
    <t>jhon.tabares@sensiaglobal.com</t>
  </si>
  <si>
    <t xml:space="preserve">537421760                </t>
  </si>
  <si>
    <t>1001204766</t>
  </si>
  <si>
    <t>PENARANDA CHIA JOSE ALEJANDRO</t>
  </si>
  <si>
    <t>JoseAlejandro.Penaranda@sensiaglobal.com</t>
  </si>
  <si>
    <t xml:space="preserve">18688146883              </t>
  </si>
  <si>
    <t>1098679482</t>
  </si>
  <si>
    <t>AVILA ARIAS JOSE JULIAN</t>
  </si>
  <si>
    <t>jose.avila@sensiaglobal.com</t>
  </si>
  <si>
    <t xml:space="preserve">52647907733              </t>
  </si>
  <si>
    <t>COMFENALCO –TOLIMA</t>
  </si>
  <si>
    <t>1094532056</t>
  </si>
  <si>
    <t>MEZA AGUDELO SERGIO ANDRES</t>
  </si>
  <si>
    <t>sergio.meza@sensiaglobal.com</t>
  </si>
  <si>
    <t xml:space="preserve">79319036054              </t>
  </si>
  <si>
    <t>1031123702</t>
  </si>
  <si>
    <t>BERNAL PARRA YENNY PATRICIA</t>
  </si>
  <si>
    <t>Patricia.Bernal@sensiaglobal.com</t>
  </si>
  <si>
    <t>369982</t>
  </si>
  <si>
    <t>ROSALES PARADA VICTOR ENRIQUE</t>
  </si>
  <si>
    <t>VictorEnrique.Rosales@sensiaglobal.com</t>
  </si>
  <si>
    <t>SYSTEMS ENGINEER</t>
  </si>
  <si>
    <t xml:space="preserve">70251479435              </t>
  </si>
  <si>
    <t>79188847</t>
  </si>
  <si>
    <t>SUAREZ CASTANEDA OMAR WILSON</t>
  </si>
  <si>
    <t>omar.suarez@sensiaglobal.com</t>
  </si>
  <si>
    <t>FIELD SERVICE/SUPPORT ENGINEER</t>
  </si>
  <si>
    <t xml:space="preserve">20147474394              </t>
  </si>
  <si>
    <t>1016106262</t>
  </si>
  <si>
    <t>CAMPOS QUESADA LEIDY JOHANNA</t>
  </si>
  <si>
    <t>LEIDYJOHANNA.CAMPOS@rockwellautomation.com</t>
  </si>
  <si>
    <t xml:space="preserve">22344431756              </t>
  </si>
  <si>
    <t>1018465549</t>
  </si>
  <si>
    <t>SANTANA SALGADO JUAN CAMILO</t>
  </si>
  <si>
    <t>JuanCamilo.Santana@rockwellautomation.com</t>
  </si>
  <si>
    <t xml:space="preserve">5800310301               </t>
  </si>
  <si>
    <t>1013686547</t>
  </si>
  <si>
    <t>ALVAREZ SARMIENTO JUAN DAVID</t>
  </si>
  <si>
    <t>Juan.Alvarez@rockwellautomation.com</t>
  </si>
  <si>
    <t>LEAN PROJECT MANAGER SERVICES &amp; SOLUTIONS LATAM</t>
  </si>
  <si>
    <t xml:space="preserve">66770602832              </t>
  </si>
  <si>
    <t>91280671</t>
  </si>
  <si>
    <t>AREVALO URREGO NIXON</t>
  </si>
  <si>
    <t>Nixon.Arevalo@rockwellautomation.com</t>
  </si>
  <si>
    <t xml:space="preserve">148007347                </t>
  </si>
  <si>
    <t>79974614</t>
  </si>
  <si>
    <t>BUENO LOPEZ MARCO ANTONIO</t>
  </si>
  <si>
    <t>Antonio.Bueno@rockwellautomation.com</t>
  </si>
  <si>
    <t xml:space="preserve">PAGO EN EFECTIVO O ESPECIE    </t>
  </si>
  <si>
    <t xml:space="preserve">290338499099             </t>
  </si>
  <si>
    <t>94526833</t>
  </si>
  <si>
    <t>VELÁSQUEZ RESTREPO JUAN RICARDO</t>
  </si>
  <si>
    <t>1140884768</t>
  </si>
  <si>
    <t>BONIVENTO CELIS LUIS FERNANDO</t>
  </si>
  <si>
    <t>LuisFernando.Bonivento@rockwellautomation.com</t>
  </si>
  <si>
    <t>1136887802</t>
  </si>
  <si>
    <t>MORENO LINARES ALEXANDRA</t>
  </si>
  <si>
    <t>Alexandra.Moreno@rockwellautomation.com</t>
  </si>
  <si>
    <t>LA BENEFITS EXPERT</t>
  </si>
  <si>
    <t xml:space="preserve">5862024722               </t>
  </si>
  <si>
    <t>MARTINEZ GIRALDO EDISSON CAMILO</t>
  </si>
  <si>
    <t>1113668936</t>
  </si>
  <si>
    <t>VILLA VASQUEZ JHOHANNS</t>
  </si>
  <si>
    <t>Jhohanns.Villa@rockwellautomation.com</t>
  </si>
  <si>
    <t xml:space="preserve">86762085552              </t>
  </si>
  <si>
    <t>COMFENALCO QUINDÍO</t>
  </si>
  <si>
    <t>1094931890</t>
  </si>
  <si>
    <t>BOTERO RONCANCIO DANIEL</t>
  </si>
  <si>
    <t>3218738427</t>
  </si>
  <si>
    <t>DANIEL.BOTERORONCANCIO@ROCKWELLAUTOMATION.COM</t>
  </si>
  <si>
    <t xml:space="preserve">31957948831              </t>
  </si>
  <si>
    <t>71260201</t>
  </si>
  <si>
    <t>ALZATE HIGUITA DANIEL GUILLERMO</t>
  </si>
  <si>
    <t>Daniel.Alzate@rockwellautomation.com</t>
  </si>
  <si>
    <t xml:space="preserve">10322266499              </t>
  </si>
  <si>
    <t>1140876560</t>
  </si>
  <si>
    <t>PATERNINA ALTAMAR SAMUEL DAVID</t>
  </si>
  <si>
    <t>SamuelDavid.PaterninaAltamar@rockwellautomation.com</t>
  </si>
  <si>
    <t xml:space="preserve">20197980983              </t>
  </si>
  <si>
    <t>1010217504</t>
  </si>
  <si>
    <t>SUAREZ BARRERA JUAN CARLOS</t>
  </si>
  <si>
    <t>JuanCarlos.Suarez@rockwellautomation.com</t>
  </si>
  <si>
    <t xml:space="preserve">24409150515              </t>
  </si>
  <si>
    <t>73197006</t>
  </si>
  <si>
    <t>TOUS BELLO FERMIN ARTURO</t>
  </si>
  <si>
    <t>Arturo.Tous@rockwellautomation.com</t>
  </si>
  <si>
    <t xml:space="preserve">08151228535              </t>
  </si>
  <si>
    <t>8101049</t>
  </si>
  <si>
    <t>GONZÁLEZ VELEZ ANDRÉS FELIPE</t>
  </si>
  <si>
    <t>AndresFelipe.Gonzalez@rockwellautomation.com</t>
  </si>
  <si>
    <t xml:space="preserve">10537512380              </t>
  </si>
  <si>
    <t>MEJIA CASTAÑO JUAN SEBASTIAN</t>
  </si>
  <si>
    <t>1193103464</t>
  </si>
  <si>
    <t>SANCHEZ DURAN INGRID NAJHELY</t>
  </si>
  <si>
    <t>NAJHELY.SANCHEZ@rockwellautomation.com</t>
  </si>
  <si>
    <t>TRANSPORTATION PLANNER</t>
  </si>
  <si>
    <t xml:space="preserve">52525644197              </t>
  </si>
  <si>
    <t>1033770207</t>
  </si>
  <si>
    <t>RODRIGUEZ SANCHEZ ANGELICA MARIA</t>
  </si>
  <si>
    <t>Angelica.M.Rodriguez@rockwellautomation.com</t>
  </si>
  <si>
    <t>TRADE PLANNER</t>
  </si>
  <si>
    <t xml:space="preserve">488409086292             </t>
  </si>
  <si>
    <t>1018410898</t>
  </si>
  <si>
    <t>VERA PAREDES GINA PAOLA</t>
  </si>
  <si>
    <t>GinaPaola.Vera@rockwellautomation.com</t>
  </si>
  <si>
    <t>1010113978</t>
  </si>
  <si>
    <t>MORENO MELO SANTIAGO</t>
  </si>
  <si>
    <t>Santiago.Moreno@rockwellautomation.com</t>
  </si>
  <si>
    <t>HR SERVICES SPECIALIST  - LA</t>
  </si>
  <si>
    <t xml:space="preserve">0550006400630551         </t>
  </si>
  <si>
    <t>1031144264</t>
  </si>
  <si>
    <t>PRIETO FONSECA WILSON ANDRÉS</t>
  </si>
  <si>
    <t>WilsonAndres.Prieto@rockwellautomation.com</t>
  </si>
  <si>
    <t xml:space="preserve">0777163056               </t>
  </si>
  <si>
    <t>1007766763</t>
  </si>
  <si>
    <t>BELTRÁN PÉREZ MARÍA SALOMÉ</t>
  </si>
  <si>
    <t>MariaSalome.Beltran@rockwellautomation.com</t>
  </si>
  <si>
    <t>GLOBAL OPERATIONS ANALYST</t>
  </si>
  <si>
    <t xml:space="preserve">62986235626              </t>
  </si>
  <si>
    <t>1127607333</t>
  </si>
  <si>
    <t>DURAN PRADA SULMAR ANTONIO</t>
  </si>
  <si>
    <t>Sulmar.Duran@sensiaglobal.com</t>
  </si>
  <si>
    <t xml:space="preserve">61489626429              </t>
  </si>
  <si>
    <t>43260867</t>
  </si>
  <si>
    <t>SALAZAR GIRON ERIKA JOHANA</t>
  </si>
  <si>
    <t>ERIKAJOHANA.SALAZAR@rockwellautomation.com</t>
  </si>
  <si>
    <t xml:space="preserve">10291861254              </t>
  </si>
  <si>
    <t>40342326</t>
  </si>
  <si>
    <t>PARRADO REY GERLY YULIETH</t>
  </si>
  <si>
    <t>3160486690</t>
  </si>
  <si>
    <t>Yulieth.Parrado@rockwellautomation.com</t>
  </si>
  <si>
    <t xml:space="preserve">807408718                </t>
  </si>
  <si>
    <t>1032482930</t>
  </si>
  <si>
    <t>MORENO PRIETO LAURA PAOLA</t>
  </si>
  <si>
    <t>3112197941</t>
  </si>
  <si>
    <t>LauraPaola.Moreno@rockwellautomation.com</t>
  </si>
  <si>
    <t xml:space="preserve">720132141                </t>
  </si>
  <si>
    <t>1085553142</t>
  </si>
  <si>
    <t>AGUIRRE GARCIA MELQUI JAIR</t>
  </si>
  <si>
    <t>3155863245</t>
  </si>
  <si>
    <t>MelquiJair.Aguirre@rockwellautomation.com</t>
  </si>
  <si>
    <t xml:space="preserve">0550488408878699         </t>
  </si>
  <si>
    <t>1007698927</t>
  </si>
  <si>
    <t>PULIDO RAMIREZ DANIELA ALEJANDRA</t>
  </si>
  <si>
    <t>3115062778</t>
  </si>
  <si>
    <t>DanielaAlejandra.Pulido@rockwellautomation.com</t>
  </si>
  <si>
    <t>98634241</t>
  </si>
  <si>
    <t>CIFUENTES MONTOYA LUIS FELIPE</t>
  </si>
  <si>
    <t>3113058994</t>
  </si>
  <si>
    <t>VIRTUALIZATION ENGINEER</t>
  </si>
  <si>
    <t xml:space="preserve">90609970                 </t>
  </si>
  <si>
    <t>98695947</t>
  </si>
  <si>
    <t>ARANGO CASTRILLON JUAN ESTEBAN</t>
  </si>
  <si>
    <t>3173656357</t>
  </si>
  <si>
    <t>JuanEsteban.Arango@rockwellautomation.com</t>
  </si>
  <si>
    <t>STORAGE ENGINEER</t>
  </si>
  <si>
    <t xml:space="preserve">10032847084              </t>
  </si>
  <si>
    <t>DAVILA URREGO JUAN PABLO</t>
  </si>
  <si>
    <t>1032498109</t>
  </si>
  <si>
    <t>ARIAS GUAYACAN NESTOR ORLANDO</t>
  </si>
  <si>
    <t>NestorOrlando.Arias@rockwellautomation.com</t>
  </si>
  <si>
    <t>1073505511</t>
  </si>
  <si>
    <t>DIAZ ESPITIA MARCO ANTONIO</t>
  </si>
  <si>
    <t>MARCOANTONIO.DIAZ@sensiaglobal.com</t>
  </si>
  <si>
    <t xml:space="preserve">275063980                </t>
  </si>
  <si>
    <t>1096219004</t>
  </si>
  <si>
    <t>LOBO TORO ALVARO ANDRÉS</t>
  </si>
  <si>
    <t>1026253551</t>
  </si>
  <si>
    <t>TORRES LÓPEZ SERGIO DANIEL</t>
  </si>
  <si>
    <t>SergioDaniel.Torres@rockwellautomation.com</t>
  </si>
  <si>
    <t xml:space="preserve">4652015588               </t>
  </si>
  <si>
    <t>1024602449</t>
  </si>
  <si>
    <t>AREVALO ROJAS CARLOS ANDRES</t>
  </si>
  <si>
    <t>CarlosAndres.Arevalo@rockwellautomation.com</t>
  </si>
  <si>
    <t xml:space="preserve">075705145                </t>
  </si>
  <si>
    <t>1022339824</t>
  </si>
  <si>
    <t>MARTÍNEZ HERRERA KELY JOHANNA</t>
  </si>
  <si>
    <t>KelyJohanna.Martinez@rockwellautomation.com</t>
  </si>
  <si>
    <t>RECEPTIONIST</t>
  </si>
  <si>
    <t xml:space="preserve">21773048921              </t>
  </si>
  <si>
    <t>1007222789</t>
  </si>
  <si>
    <t>SOTO TABORDA CRISTIAN</t>
  </si>
  <si>
    <t>Cristian.Soto@rockwellautomation.com</t>
  </si>
  <si>
    <t>STUDENT INTERN COLLEGE</t>
  </si>
  <si>
    <t xml:space="preserve">52000006337              </t>
  </si>
  <si>
    <t>1020798281</t>
  </si>
  <si>
    <t>LEAL MATIZ JUAN DAVID</t>
  </si>
  <si>
    <t>JuanDavid.Leal@rockwellautomation.com</t>
  </si>
  <si>
    <t xml:space="preserve">1003409607               </t>
  </si>
  <si>
    <t>1037654275</t>
  </si>
  <si>
    <t>SANCHEZ VILLEGAS MARIA CLARA</t>
  </si>
  <si>
    <t>MariaClara.Sanchez@rockwellautomation.com</t>
  </si>
  <si>
    <t>ANALYTICS ENGINEER</t>
  </si>
  <si>
    <t xml:space="preserve">27581674193              </t>
  </si>
  <si>
    <t>PUELLO CAMPUZANO ANDRES JOSE</t>
  </si>
  <si>
    <t>AMAYA CAMACHO JUAN CAMILO</t>
  </si>
  <si>
    <t>TA INTERN</t>
  </si>
  <si>
    <t>ARIAS YANZA SANTIAGO</t>
  </si>
  <si>
    <t>INTERN, POTENTIAL ENGINEER</t>
  </si>
  <si>
    <t>10141032</t>
  </si>
  <si>
    <t>CARDONA GONZALEZ LUIS FERNANDO</t>
  </si>
  <si>
    <t>AV SANTODOMINGO CLJON LOS NARANJOS -UNIDAD RESIDENCIAL ALMENDROS CASA 09</t>
  </si>
  <si>
    <t>Luis.Cardona@rockwellautomation.com</t>
  </si>
  <si>
    <t xml:space="preserve">82910299812              </t>
  </si>
  <si>
    <t>GOMEZ DIAZ KLEINSVER HAWER</t>
  </si>
  <si>
    <t>POTENTIAL ENGINEER</t>
  </si>
  <si>
    <t>1072668834</t>
  </si>
  <si>
    <t>OBANDO GOMEZ CRYSTIAM</t>
  </si>
  <si>
    <t>Crystiam.Obando@rockwellautomation.com</t>
  </si>
  <si>
    <t xml:space="preserve">4312043125               </t>
  </si>
  <si>
    <t>1152715422</t>
  </si>
  <si>
    <t>ARRIETA ZORRILLA MAIRON DYLAN</t>
  </si>
  <si>
    <t>MaironDylan.Arrieta@rockwellautomation.com</t>
  </si>
  <si>
    <t xml:space="preserve">58018744331              </t>
  </si>
  <si>
    <t>1022366578</t>
  </si>
  <si>
    <t>PEDRAZA CARDENAS DIEGO FERNANDO</t>
  </si>
  <si>
    <t>DiegoFernando.Pedraza@rockwellautomation.com</t>
  </si>
  <si>
    <t xml:space="preserve">13810975291              </t>
  </si>
  <si>
    <t>1007665484</t>
  </si>
  <si>
    <t>JIMENEZ ARICAPA BRAHYAN</t>
  </si>
  <si>
    <t>Brahyan.Jimenez@rockwellautomation.com</t>
  </si>
  <si>
    <t xml:space="preserve">91238000055              </t>
  </si>
  <si>
    <t>53118223</t>
  </si>
  <si>
    <t>PAJÓN GUERRERO NATALY</t>
  </si>
  <si>
    <t>CRA 72 BIS 152B32 B2-503</t>
  </si>
  <si>
    <t>Nataly.Pajon@rockwellautomation.com</t>
  </si>
  <si>
    <t>ADMINISTRATIVE SUPPORT SALES</t>
  </si>
  <si>
    <t xml:space="preserve">4622044491               </t>
  </si>
  <si>
    <t>1143166001</t>
  </si>
  <si>
    <t>SOLIS PADILLA JOHNATTAN</t>
  </si>
  <si>
    <t>Johnattan.Solis@rockwellautomation.com</t>
  </si>
  <si>
    <t xml:space="preserve">48359308828              </t>
  </si>
  <si>
    <t>80882411</t>
  </si>
  <si>
    <t>BAREÑO AVILA WILMER FERNANDO</t>
  </si>
  <si>
    <t>WilmerFernando.Bareno@rockwellautomation.com</t>
  </si>
  <si>
    <t xml:space="preserve">58597482394              </t>
  </si>
  <si>
    <t>6803101</t>
  </si>
  <si>
    <t>CLAROS PARRA ANDRES FELIPE</t>
  </si>
  <si>
    <t>Andres.Claros1@rockwellautomation.com</t>
  </si>
  <si>
    <t>CLOUD SOFTWARE ARCHITECT</t>
  </si>
  <si>
    <t xml:space="preserve">008700419248             </t>
  </si>
  <si>
    <t>1000575249</t>
  </si>
  <si>
    <t>GUTIERREZ GARNICA LUIS FELIPE</t>
  </si>
  <si>
    <t>LuisFelipe.Gutierrez1@rockwellautomation.com</t>
  </si>
  <si>
    <t>1018508832</t>
  </si>
  <si>
    <t>PINZÓN MOTTA FABIÁN</t>
  </si>
  <si>
    <t>Fabian.Pinzon@rockwellautomation.com</t>
  </si>
  <si>
    <t xml:space="preserve">133639112                </t>
  </si>
  <si>
    <t>104014 - 104014</t>
  </si>
  <si>
    <t>350299</t>
  </si>
  <si>
    <t>RIFFO TINEO BRIAN GERALD</t>
  </si>
  <si>
    <t>BrianGerald.Riffo@rockwellautomation.com</t>
  </si>
  <si>
    <t xml:space="preserve">05400019331              </t>
  </si>
  <si>
    <t>1015483066</t>
  </si>
  <si>
    <t>PEÑA PABÓN DANIEL CAMILO</t>
  </si>
  <si>
    <t>GALINDO ROJAS ANDRES FELIPE</t>
  </si>
  <si>
    <t>ORTÍZ CORREA HAROLD MANUEL</t>
  </si>
  <si>
    <t>71262838</t>
  </si>
  <si>
    <t>BEDOYA LONDONO MAURICIO</t>
  </si>
  <si>
    <t>CR 65D 32E 8</t>
  </si>
  <si>
    <t>Mauricio.Bedoya@rockwellautomation.com</t>
  </si>
  <si>
    <t>SOFTWARE TECHNICAL LEADER</t>
  </si>
  <si>
    <t xml:space="preserve">00817599630              </t>
  </si>
  <si>
    <t>1140877736</t>
  </si>
  <si>
    <t>TRESPALACIOS GRANADILLO DANIEL</t>
  </si>
  <si>
    <t>Daniel.Trespalacios@rockwellautomation.com</t>
  </si>
  <si>
    <t xml:space="preserve">151673084                </t>
  </si>
  <si>
    <t>CHICA GOMEZ MARIA CAMILA</t>
  </si>
  <si>
    <t>1039459954</t>
  </si>
  <si>
    <t>SALDARRIAGA ZAPATA JOSE GUILLERMO</t>
  </si>
  <si>
    <t>JoseGuillermo.Saldarriaga@rockwellautomation.com</t>
  </si>
  <si>
    <t>SAP CRM ABAP TECHNO FUNCTIONAL</t>
  </si>
  <si>
    <t xml:space="preserve">23492808644              </t>
  </si>
  <si>
    <t>75075717</t>
  </si>
  <si>
    <t>GARRIDO MARULANDA JUAN CARLOS</t>
  </si>
  <si>
    <t>JuanCarlos.Garrido@rockwellautomation.com</t>
  </si>
  <si>
    <t>APPLICATION SOLUTION CONSULTANT</t>
  </si>
  <si>
    <t xml:space="preserve">05909265845              </t>
  </si>
  <si>
    <t>9738206</t>
  </si>
  <si>
    <t>PABON RINCON RICARDO ANDRES</t>
  </si>
  <si>
    <t>RicardoAndres.Pabon@rockwellautomation.com</t>
  </si>
  <si>
    <t>OBSERVABILITY ENGINEER</t>
  </si>
  <si>
    <t xml:space="preserve">75600000485              </t>
  </si>
  <si>
    <t>1030535889</t>
  </si>
  <si>
    <t>SANCHEZ GONZALEZ BRAYAN</t>
  </si>
  <si>
    <t>Brayan.Sanchez@sensiaglobal.com</t>
  </si>
  <si>
    <t>SALES ACCOUNT MANAGER</t>
  </si>
  <si>
    <t xml:space="preserve">0242510402               </t>
  </si>
  <si>
    <t>1016099094</t>
  </si>
  <si>
    <t>RODRIGUEZ GOMEZ NICOLAS ANDREY</t>
  </si>
  <si>
    <t>DG 23B 88C-18</t>
  </si>
  <si>
    <t>NicolasAndrey.Rodriguez@rockwellautomation.com</t>
  </si>
  <si>
    <t xml:space="preserve">0157216573               </t>
  </si>
  <si>
    <t>1003811919</t>
  </si>
  <si>
    <t>DURAN VARGAS ANGI CAMILA</t>
  </si>
  <si>
    <t>CR 38 A NO 20 37</t>
  </si>
  <si>
    <t>AngiCamila.Duran@rockwellautomation.com</t>
  </si>
  <si>
    <t xml:space="preserve">162798135                </t>
  </si>
  <si>
    <t>5135583</t>
  </si>
  <si>
    <t>CARRASQUEL PEREZ RONNY JAVIER</t>
  </si>
  <si>
    <t>479437</t>
  </si>
  <si>
    <t>RIVERA RAMIREZ VANESSA CAROLINA</t>
  </si>
  <si>
    <t xml:space="preserve">19124165591              </t>
  </si>
  <si>
    <t>QUEVEDO IDROBO DANIELA VALENTINA</t>
  </si>
  <si>
    <t>1136889079</t>
  </si>
  <si>
    <t>LUQUE ROJAS SANTIAGO</t>
  </si>
  <si>
    <t>12345678</t>
  </si>
  <si>
    <t xml:space="preserve">000077743                </t>
  </si>
  <si>
    <t>1001371135</t>
  </si>
  <si>
    <t>BEJARANO DE LA PAVA SAMUEL</t>
  </si>
  <si>
    <t>INTERN DEVELOPER</t>
  </si>
  <si>
    <t>CCF DE ANTIOQUIA</t>
  </si>
  <si>
    <t>MONTOYA CASTRO JEAN CARLOS</t>
  </si>
  <si>
    <t>VARGAS RODRIGUEZ YULI PAOLA</t>
  </si>
  <si>
    <t>1001367558</t>
  </si>
  <si>
    <t>RESTREPO QUIÑONES DANIEL</t>
  </si>
  <si>
    <t>1018498500</t>
  </si>
  <si>
    <t>URIBE PAEZ JULIANA</t>
  </si>
  <si>
    <t>AV CR 9 140 69</t>
  </si>
  <si>
    <t>TRAINING AND LEARNING DEVELOPMENT SPECIALIST</t>
  </si>
  <si>
    <t xml:space="preserve">488413030682             </t>
  </si>
  <si>
    <t>CANTIDAD</t>
  </si>
  <si>
    <t>NETO PAGADO</t>
  </si>
  <si>
    <t xml:space="preserve">Retención en la Fuente                            </t>
  </si>
  <si>
    <t xml:space="preserve">Vacaciones                                        </t>
  </si>
  <si>
    <t xml:space="preserve">Horas Extras Diurnas                              </t>
  </si>
  <si>
    <t xml:space="preserve">Prima de Servicios                                </t>
  </si>
  <si>
    <t xml:space="preserve">Hora Extra Dominical o Festiva Nocturna           </t>
  </si>
  <si>
    <t>DEDUCCIONES</t>
  </si>
  <si>
    <t>5180</t>
  </si>
  <si>
    <t>104017</t>
  </si>
  <si>
    <t>104018</t>
  </si>
  <si>
    <t>5125</t>
  </si>
  <si>
    <t>104021</t>
  </si>
  <si>
    <t>5195</t>
  </si>
  <si>
    <t>104008</t>
  </si>
  <si>
    <t>5524</t>
  </si>
  <si>
    <t>104009</t>
  </si>
  <si>
    <t>5536</t>
  </si>
  <si>
    <t>5552</t>
  </si>
  <si>
    <t>6015</t>
  </si>
  <si>
    <t>6038</t>
  </si>
  <si>
    <t>6064</t>
  </si>
  <si>
    <t>SENIOR  ENGINEER REMOTE SUPPORT - MV PRODUCTS</t>
  </si>
  <si>
    <t>104020</t>
  </si>
  <si>
    <t>6072</t>
  </si>
  <si>
    <t>6092</t>
  </si>
  <si>
    <t>6096</t>
  </si>
  <si>
    <t>6105</t>
  </si>
  <si>
    <t>104013</t>
  </si>
  <si>
    <t>104035</t>
  </si>
  <si>
    <t>6117</t>
  </si>
  <si>
    <t>6122</t>
  </si>
  <si>
    <t>104036</t>
  </si>
  <si>
    <t>6125</t>
  </si>
  <si>
    <t>6135</t>
  </si>
  <si>
    <t>104037</t>
  </si>
  <si>
    <t>104065</t>
  </si>
  <si>
    <t>6144</t>
  </si>
  <si>
    <t>DEVELOPER SOFTWARE ENGINEER</t>
  </si>
  <si>
    <t>6177</t>
  </si>
  <si>
    <t>6183</t>
  </si>
  <si>
    <t>LAURA CAROLINA ROZO HOYOS</t>
  </si>
  <si>
    <t>6185</t>
  </si>
  <si>
    <t>104028</t>
  </si>
  <si>
    <t>104010</t>
  </si>
  <si>
    <t>104048</t>
  </si>
  <si>
    <t>104042</t>
  </si>
  <si>
    <t>104067</t>
  </si>
  <si>
    <t>104012</t>
  </si>
  <si>
    <t>104057</t>
  </si>
  <si>
    <t>104034</t>
  </si>
  <si>
    <t>104060</t>
  </si>
  <si>
    <t>104007</t>
  </si>
  <si>
    <t>DÍAS ULTIMOS 12 MESES</t>
  </si>
  <si>
    <t>VR VACACIONES</t>
  </si>
  <si>
    <t>Subsidio de Transporte</t>
  </si>
  <si>
    <t>101300</t>
  </si>
  <si>
    <t xml:space="preserve">Intereses Cesantias Año Anterior                  </t>
  </si>
  <si>
    <t>200024</t>
  </si>
  <si>
    <t>Descuento stock options</t>
  </si>
  <si>
    <t>Reintegro libranza</t>
  </si>
  <si>
    <t>Suma de CANTIDAD</t>
  </si>
  <si>
    <t>(Varios elementos)</t>
  </si>
  <si>
    <t xml:space="preserve">dias mes </t>
  </si>
  <si>
    <t>fecha ingreso</t>
  </si>
  <si>
    <t>001170</t>
  </si>
  <si>
    <t xml:space="preserve">Licencia Remunerada                               </t>
  </si>
  <si>
    <t>100026</t>
  </si>
  <si>
    <t xml:space="preserve">CRUZ                          </t>
  </si>
  <si>
    <t xml:space="preserve">EDITH               </t>
  </si>
  <si>
    <t xml:space="preserve">JULIETA                       </t>
  </si>
  <si>
    <t xml:space="preserve">CCF24 </t>
  </si>
  <si>
    <t xml:space="preserve">AVELLO              </t>
  </si>
  <si>
    <t xml:space="preserve">CONCHA                        </t>
  </si>
  <si>
    <t>VALLE</t>
  </si>
  <si>
    <t>CALI</t>
  </si>
  <si>
    <t xml:space="preserve">CCF57 </t>
  </si>
  <si>
    <t xml:space="preserve">TEJADA                        </t>
  </si>
  <si>
    <t xml:space="preserve">ADRIANA             </t>
  </si>
  <si>
    <t xml:space="preserve">REY                           </t>
  </si>
  <si>
    <t>COMPENSAR</t>
  </si>
  <si>
    <t xml:space="preserve">LEON                          </t>
  </si>
  <si>
    <t xml:space="preserve">EDISSON             </t>
  </si>
  <si>
    <t xml:space="preserve">AUGUSTO                       </t>
  </si>
  <si>
    <t xml:space="preserve">CASTAÑEDA                     </t>
  </si>
  <si>
    <t xml:space="preserve">JUNCO                         </t>
  </si>
  <si>
    <t xml:space="preserve">HUGO                </t>
  </si>
  <si>
    <t xml:space="preserve">ALEXANDER                     </t>
  </si>
  <si>
    <t xml:space="preserve">BRAVO               </t>
  </si>
  <si>
    <t xml:space="preserve">SOLARTE                       </t>
  </si>
  <si>
    <t>CUNDINAMARCA</t>
  </si>
  <si>
    <t>AGUA DE DIOS</t>
  </si>
  <si>
    <t xml:space="preserve">PAUL                          </t>
  </si>
  <si>
    <t xml:space="preserve">ALEJANDRA                     </t>
  </si>
  <si>
    <t>ANTIOQUIA</t>
  </si>
  <si>
    <t xml:space="preserve">CCF04 </t>
  </si>
  <si>
    <t xml:space="preserve">SEGURA              </t>
  </si>
  <si>
    <t xml:space="preserve">FRANCOIS            </t>
  </si>
  <si>
    <t xml:space="preserve">ALBERT                        </t>
  </si>
  <si>
    <t xml:space="preserve">TRIANA              </t>
  </si>
  <si>
    <t xml:space="preserve">LUZ                 </t>
  </si>
  <si>
    <t xml:space="preserve">RICO                </t>
  </si>
  <si>
    <t xml:space="preserve">ERIKA               </t>
  </si>
  <si>
    <t xml:space="preserve">YOLIMA                        </t>
  </si>
  <si>
    <t xml:space="preserve">TACORONTE           </t>
  </si>
  <si>
    <t xml:space="preserve">RIVERO                        </t>
  </si>
  <si>
    <t xml:space="preserve">ALBESANO            </t>
  </si>
  <si>
    <t xml:space="preserve">TOMAS               </t>
  </si>
  <si>
    <t xml:space="preserve">ENRICO                        </t>
  </si>
  <si>
    <t xml:space="preserve">ZARATE              </t>
  </si>
  <si>
    <t xml:space="preserve">TULIO                         </t>
  </si>
  <si>
    <t xml:space="preserve">CALDERON            </t>
  </si>
  <si>
    <t xml:space="preserve">MANCHEGO                      </t>
  </si>
  <si>
    <t xml:space="preserve">ERNESTO                       </t>
  </si>
  <si>
    <t xml:space="preserve">JUVENAL             </t>
  </si>
  <si>
    <t xml:space="preserve">LIZCANO             </t>
  </si>
  <si>
    <t xml:space="preserve">SANTOFIMIO                    </t>
  </si>
  <si>
    <t xml:space="preserve">RESTREPO            </t>
  </si>
  <si>
    <t xml:space="preserve">PAOLA               </t>
  </si>
  <si>
    <t xml:space="preserve">SORAIMA             </t>
  </si>
  <si>
    <t xml:space="preserve">SELENE                        </t>
  </si>
  <si>
    <t xml:space="preserve">VELASCO             </t>
  </si>
  <si>
    <t xml:space="preserve">BURBANO                       </t>
  </si>
  <si>
    <t xml:space="preserve">QUEVEDO                       </t>
  </si>
  <si>
    <t xml:space="preserve">EVELIN              </t>
  </si>
  <si>
    <t xml:space="preserve">ELISA                         </t>
  </si>
  <si>
    <t xml:space="preserve">MITROSBARAS         </t>
  </si>
  <si>
    <t xml:space="preserve">COSTANTINO          </t>
  </si>
  <si>
    <t xml:space="preserve">LEGUIZAMON                    </t>
  </si>
  <si>
    <t xml:space="preserve">BELTRAN             </t>
  </si>
  <si>
    <t xml:space="preserve">EDICSON             </t>
  </si>
  <si>
    <t xml:space="preserve">ARNETH                        </t>
  </si>
  <si>
    <t xml:space="preserve">JAUREGUI            </t>
  </si>
  <si>
    <t xml:space="preserve">DUBIAN              </t>
  </si>
  <si>
    <t xml:space="preserve">YAMID                         </t>
  </si>
  <si>
    <t xml:space="preserve">JULIAN              </t>
  </si>
  <si>
    <t xml:space="preserve">AULAR CASTELLANOS   </t>
  </si>
  <si>
    <t xml:space="preserve">LISETTE             </t>
  </si>
  <si>
    <t xml:space="preserve">ZURITA              </t>
  </si>
  <si>
    <t xml:space="preserve">RAMOS                         </t>
  </si>
  <si>
    <t xml:space="preserve">JEICSON             </t>
  </si>
  <si>
    <t xml:space="preserve">PABLO                         </t>
  </si>
  <si>
    <t xml:space="preserve">EPALZA              </t>
  </si>
  <si>
    <t xml:space="preserve">RINCON              </t>
  </si>
  <si>
    <t xml:space="preserve">GARZON                        </t>
  </si>
  <si>
    <t xml:space="preserve">YOMARA                        </t>
  </si>
  <si>
    <t xml:space="preserve">CAVIEDES            </t>
  </si>
  <si>
    <t xml:space="preserve">GYSELLA             </t>
  </si>
  <si>
    <t xml:space="preserve">CANTOR              </t>
  </si>
  <si>
    <t xml:space="preserve">CORTES                        </t>
  </si>
  <si>
    <t xml:space="preserve">URIBE                         </t>
  </si>
  <si>
    <t xml:space="preserve">ISABEL              </t>
  </si>
  <si>
    <t xml:space="preserve">CRISTINA                      </t>
  </si>
  <si>
    <t xml:space="preserve">ARAQUE              </t>
  </si>
  <si>
    <t xml:space="preserve">BULLA               </t>
  </si>
  <si>
    <t xml:space="preserve">CLAUDIA             </t>
  </si>
  <si>
    <t xml:space="preserve">MARCELA                       </t>
  </si>
  <si>
    <t xml:space="preserve">MESA                </t>
  </si>
  <si>
    <t xml:space="preserve">DIEGO                         </t>
  </si>
  <si>
    <t xml:space="preserve">PORTILLA            </t>
  </si>
  <si>
    <t xml:space="preserve">CONSTAIN                      </t>
  </si>
  <si>
    <t xml:space="preserve">NICOLE              </t>
  </si>
  <si>
    <t xml:space="preserve">BEATRIZ                       </t>
  </si>
  <si>
    <t xml:space="preserve">GEBERT              </t>
  </si>
  <si>
    <t xml:space="preserve">LADINO              </t>
  </si>
  <si>
    <t xml:space="preserve">JHOLBERT            </t>
  </si>
  <si>
    <t xml:space="preserve">GEOVANNY                      </t>
  </si>
  <si>
    <t>BOYACA</t>
  </si>
  <si>
    <t>TUNJA</t>
  </si>
  <si>
    <t xml:space="preserve">CCF10 </t>
  </si>
  <si>
    <t xml:space="preserve">ASENSIO                       </t>
  </si>
  <si>
    <t xml:space="preserve">JONATHAN            </t>
  </si>
  <si>
    <t>NORTE_DE_SANTANDER</t>
  </si>
  <si>
    <t>CUCUTA</t>
  </si>
  <si>
    <t xml:space="preserve">CCF37 </t>
  </si>
  <si>
    <t xml:space="preserve">BESTEIRO            </t>
  </si>
  <si>
    <t xml:space="preserve">AVILA               </t>
  </si>
  <si>
    <t xml:space="preserve">CAMILO              </t>
  </si>
  <si>
    <t xml:space="preserve">YAMILE              </t>
  </si>
  <si>
    <t xml:space="preserve">PAZ                 </t>
  </si>
  <si>
    <t xml:space="preserve">PETIT                         </t>
  </si>
  <si>
    <t xml:space="preserve">MAYA                </t>
  </si>
  <si>
    <t xml:space="preserve">SEQUERA                       </t>
  </si>
  <si>
    <t xml:space="preserve">ROLANDO             </t>
  </si>
  <si>
    <t xml:space="preserve">VELASQUEZ           </t>
  </si>
  <si>
    <t xml:space="preserve">EDY                 </t>
  </si>
  <si>
    <t xml:space="preserve">ALEXY                         </t>
  </si>
  <si>
    <t xml:space="preserve">PIEDRAHITA          </t>
  </si>
  <si>
    <t xml:space="preserve">VELEZ                         </t>
  </si>
  <si>
    <t xml:space="preserve">CHRISTIAN           </t>
  </si>
  <si>
    <t xml:space="preserve">CARRASQUILLA        </t>
  </si>
  <si>
    <t xml:space="preserve">CHACON              </t>
  </si>
  <si>
    <t xml:space="preserve">ACEVEDO                       </t>
  </si>
  <si>
    <t xml:space="preserve">LAURA               </t>
  </si>
  <si>
    <t xml:space="preserve">ALZATE              </t>
  </si>
  <si>
    <t xml:space="preserve">ARCILA                        </t>
  </si>
  <si>
    <t xml:space="preserve">SAUL                </t>
  </si>
  <si>
    <t xml:space="preserve">EFREN                         </t>
  </si>
  <si>
    <t xml:space="preserve">SANDRA              </t>
  </si>
  <si>
    <t xml:space="preserve">MONSALVE            </t>
  </si>
  <si>
    <t xml:space="preserve">JAIRO               </t>
  </si>
  <si>
    <t xml:space="preserve">SILVA               </t>
  </si>
  <si>
    <t xml:space="preserve">AGUDELO                       </t>
  </si>
  <si>
    <t xml:space="preserve">ALEJANDRA           </t>
  </si>
  <si>
    <t xml:space="preserve">CEBALLOS            </t>
  </si>
  <si>
    <t xml:space="preserve">NASYARY                       </t>
  </si>
  <si>
    <t xml:space="preserve">TUBERQUIA                     </t>
  </si>
  <si>
    <t xml:space="preserve">ARANGO              </t>
  </si>
  <si>
    <t xml:space="preserve">IVAN                          </t>
  </si>
  <si>
    <t xml:space="preserve">JARAMILLO           </t>
  </si>
  <si>
    <t xml:space="preserve">BERMUDEZ                      </t>
  </si>
  <si>
    <t xml:space="preserve">MILENA                        </t>
  </si>
  <si>
    <t xml:space="preserve">VALENZUELA          </t>
  </si>
  <si>
    <t xml:space="preserve">HINCAPIE            </t>
  </si>
  <si>
    <t xml:space="preserve">ARIAS                         </t>
  </si>
  <si>
    <t xml:space="preserve">ECHAVARRIA          </t>
  </si>
  <si>
    <t xml:space="preserve">RESTREPO                      </t>
  </si>
  <si>
    <t xml:space="preserve">JARAMILLO                     </t>
  </si>
  <si>
    <t xml:space="preserve">ALVARO              </t>
  </si>
  <si>
    <t>RISARALDA</t>
  </si>
  <si>
    <t>PEREIRA</t>
  </si>
  <si>
    <t xml:space="preserve">CCF44 </t>
  </si>
  <si>
    <t xml:space="preserve">YERMINSON           </t>
  </si>
  <si>
    <t xml:space="preserve">DONEY                         </t>
  </si>
  <si>
    <t xml:space="preserve">TUA                 </t>
  </si>
  <si>
    <t xml:space="preserve">ESPERANZA           </t>
  </si>
  <si>
    <t xml:space="preserve">BASTIDAS                      </t>
  </si>
  <si>
    <t xml:space="preserve">ROZO                </t>
  </si>
  <si>
    <t xml:space="preserve">BOTERO              </t>
  </si>
  <si>
    <t xml:space="preserve">SALAZAR                       </t>
  </si>
  <si>
    <t xml:space="preserve">SEBASTIAN                     </t>
  </si>
  <si>
    <t xml:space="preserve">SANCHEZ                       </t>
  </si>
  <si>
    <t xml:space="preserve">CACERES             </t>
  </si>
  <si>
    <t xml:space="preserve">GRANADOS                      </t>
  </si>
  <si>
    <t xml:space="preserve">ILLERA              </t>
  </si>
  <si>
    <t xml:space="preserve">ANTHONY             </t>
  </si>
  <si>
    <t xml:space="preserve">ESPINEL             </t>
  </si>
  <si>
    <t xml:space="preserve">ZULUAGA                       </t>
  </si>
  <si>
    <t xml:space="preserve">MOGOLLON                      </t>
  </si>
  <si>
    <t xml:space="preserve">ESTRADA                       </t>
  </si>
  <si>
    <t xml:space="preserve">ALEJANDRO           </t>
  </si>
  <si>
    <t xml:space="preserve">MEZA                          </t>
  </si>
  <si>
    <t>FLORIDABLANCA</t>
  </si>
  <si>
    <t xml:space="preserve">LETTY               </t>
  </si>
  <si>
    <t xml:space="preserve">YISEL                         </t>
  </si>
  <si>
    <t xml:space="preserve">GORDILLO            </t>
  </si>
  <si>
    <t xml:space="preserve">SANTIAGO                      </t>
  </si>
  <si>
    <t xml:space="preserve">MC NISH             </t>
  </si>
  <si>
    <t xml:space="preserve">FAJARDO                       </t>
  </si>
  <si>
    <t>PIEDECUESTA</t>
  </si>
  <si>
    <t>PT</t>
  </si>
  <si>
    <t xml:space="preserve">FALCON              </t>
  </si>
  <si>
    <t xml:space="preserve">MILLER                        </t>
  </si>
  <si>
    <t xml:space="preserve">CASAS               </t>
  </si>
  <si>
    <t xml:space="preserve">BROCHERO                      </t>
  </si>
  <si>
    <t xml:space="preserve">BAUTISTA            </t>
  </si>
  <si>
    <t xml:space="preserve">WILCHES                       </t>
  </si>
  <si>
    <t xml:space="preserve">LUJAN               </t>
  </si>
  <si>
    <t xml:space="preserve">MENESES             </t>
  </si>
  <si>
    <t xml:space="preserve">FERNANDA                      </t>
  </si>
  <si>
    <t xml:space="preserve">BOLAÑOS             </t>
  </si>
  <si>
    <t xml:space="preserve">ABELLO                        </t>
  </si>
  <si>
    <t xml:space="preserve">AURORA              </t>
  </si>
  <si>
    <t xml:space="preserve">GIAMPAOLO           </t>
  </si>
  <si>
    <t xml:space="preserve">JHONNY              </t>
  </si>
  <si>
    <t xml:space="preserve">DONATO                        </t>
  </si>
  <si>
    <t xml:space="preserve">CASTAÑEDA           </t>
  </si>
  <si>
    <t xml:space="preserve">EDGARD              </t>
  </si>
  <si>
    <t xml:space="preserve">POSADA              </t>
  </si>
  <si>
    <t xml:space="preserve">TORO                          </t>
  </si>
  <si>
    <t xml:space="preserve">HENAO                         </t>
  </si>
  <si>
    <t xml:space="preserve">ARENAS                        </t>
  </si>
  <si>
    <t xml:space="preserve">JHOJASI             </t>
  </si>
  <si>
    <t xml:space="preserve">STIVENSON                     </t>
  </si>
  <si>
    <t xml:space="preserve">PEREIRA                       </t>
  </si>
  <si>
    <t xml:space="preserve">VELEZ               </t>
  </si>
  <si>
    <t xml:space="preserve">HOLGUIN                       </t>
  </si>
  <si>
    <t xml:space="preserve">ROBAYO                        </t>
  </si>
  <si>
    <t xml:space="preserve">GRIMALDO                      </t>
  </si>
  <si>
    <t xml:space="preserve">RUBIANO                       </t>
  </si>
  <si>
    <t xml:space="preserve">MATEO                         </t>
  </si>
  <si>
    <t xml:space="preserve">ALVAREZ             </t>
  </si>
  <si>
    <t xml:space="preserve">CASANOVA                      </t>
  </si>
  <si>
    <t xml:space="preserve">ZAPATA              </t>
  </si>
  <si>
    <t xml:space="preserve">EDGARDO             </t>
  </si>
  <si>
    <t xml:space="preserve">BERMUDEZ            </t>
  </si>
  <si>
    <t xml:space="preserve">CCF26 </t>
  </si>
  <si>
    <t xml:space="preserve">TELLO               </t>
  </si>
  <si>
    <t xml:space="preserve">BAHAMON                       </t>
  </si>
  <si>
    <t xml:space="preserve">CRISTHIAN           </t>
  </si>
  <si>
    <t>HUILA</t>
  </si>
  <si>
    <t>NEIVA</t>
  </si>
  <si>
    <t xml:space="preserve">CCF32 </t>
  </si>
  <si>
    <t xml:space="preserve">QUICENO             </t>
  </si>
  <si>
    <t xml:space="preserve">GIRALDO                       </t>
  </si>
  <si>
    <t xml:space="preserve">JHONATAN            </t>
  </si>
  <si>
    <t xml:space="preserve">YUSEF               </t>
  </si>
  <si>
    <t xml:space="preserve">EBTISAM             </t>
  </si>
  <si>
    <t xml:space="preserve">MESADA                        </t>
  </si>
  <si>
    <t xml:space="preserve">CLAVIJO             </t>
  </si>
  <si>
    <t xml:space="preserve">OSORIO                        </t>
  </si>
  <si>
    <t xml:space="preserve">GUALTEROS           </t>
  </si>
  <si>
    <t xml:space="preserve">SOSA                          </t>
  </si>
  <si>
    <t xml:space="preserve">JEFFERSON           </t>
  </si>
  <si>
    <t xml:space="preserve">AGUAS               </t>
  </si>
  <si>
    <t xml:space="preserve">LILLY               </t>
  </si>
  <si>
    <t xml:space="preserve">VALESKA                       </t>
  </si>
  <si>
    <t xml:space="preserve">OCAMPO              </t>
  </si>
  <si>
    <t xml:space="preserve">STEVEEN                       </t>
  </si>
  <si>
    <t xml:space="preserve">HIDALGO             </t>
  </si>
  <si>
    <t xml:space="preserve">TERAN               </t>
  </si>
  <si>
    <t xml:space="preserve">ISABEL                        </t>
  </si>
  <si>
    <t xml:space="preserve">MONCADA                       </t>
  </si>
  <si>
    <t xml:space="preserve">FREDY               </t>
  </si>
  <si>
    <t xml:space="preserve">GONZALO                       </t>
  </si>
  <si>
    <t xml:space="preserve">CONSTAIN            </t>
  </si>
  <si>
    <t xml:space="preserve">DAZA                          </t>
  </si>
  <si>
    <t xml:space="preserve">BUENO               </t>
  </si>
  <si>
    <t xml:space="preserve">MARIN               </t>
  </si>
  <si>
    <t xml:space="preserve">ESNEIDER            </t>
  </si>
  <si>
    <t xml:space="preserve">RIVERA              </t>
  </si>
  <si>
    <t xml:space="preserve">CORREA                        </t>
  </si>
  <si>
    <t xml:space="preserve">DAYRON                        </t>
  </si>
  <si>
    <t xml:space="preserve">CORTINEZ                      </t>
  </si>
  <si>
    <t xml:space="preserve">ALBARRACIN          </t>
  </si>
  <si>
    <t xml:space="preserve">OSORIO              </t>
  </si>
  <si>
    <t>CALDAS</t>
  </si>
  <si>
    <t>MANIZALES</t>
  </si>
  <si>
    <t xml:space="preserve">CCF11 </t>
  </si>
  <si>
    <t xml:space="preserve">TURCA                         </t>
  </si>
  <si>
    <t xml:space="preserve">MICHAEL             </t>
  </si>
  <si>
    <t xml:space="preserve">ALDANA              </t>
  </si>
  <si>
    <t xml:space="preserve">NAYIVE              </t>
  </si>
  <si>
    <t xml:space="preserve">EUGENIA                       </t>
  </si>
  <si>
    <t xml:space="preserve">BUITRAGO            </t>
  </si>
  <si>
    <t xml:space="preserve">VASQUEZ                       </t>
  </si>
  <si>
    <t xml:space="preserve">MURILLO             </t>
  </si>
  <si>
    <t xml:space="preserve">AREIZA                        </t>
  </si>
  <si>
    <t xml:space="preserve">GRAJALES            </t>
  </si>
  <si>
    <t xml:space="preserve">ALZATE                        </t>
  </si>
  <si>
    <t xml:space="preserve">ZORRO                         </t>
  </si>
  <si>
    <t xml:space="preserve">CINDY               </t>
  </si>
  <si>
    <t xml:space="preserve">LORENA                        </t>
  </si>
  <si>
    <t xml:space="preserve">DURAN                         </t>
  </si>
  <si>
    <t xml:space="preserve">ERLEY                         </t>
  </si>
  <si>
    <t xml:space="preserve">FARFAN                        </t>
  </si>
  <si>
    <t xml:space="preserve">RODRIGO                       </t>
  </si>
  <si>
    <t xml:space="preserve">ECHEVERRI           </t>
  </si>
  <si>
    <t xml:space="preserve">GLORIA              </t>
  </si>
  <si>
    <t xml:space="preserve">OSSA                </t>
  </si>
  <si>
    <t xml:space="preserve">ECHEVERRI                     </t>
  </si>
  <si>
    <t xml:space="preserve">DEISY               </t>
  </si>
  <si>
    <t xml:space="preserve">CEBALLOS                      </t>
  </si>
  <si>
    <t xml:space="preserve">KATHERIN            </t>
  </si>
  <si>
    <t xml:space="preserve">JULIET                        </t>
  </si>
  <si>
    <t xml:space="preserve">ANGARITA            </t>
  </si>
  <si>
    <t xml:space="preserve">FERNANDEZ           </t>
  </si>
  <si>
    <t xml:space="preserve">SUAREZ                        </t>
  </si>
  <si>
    <t xml:space="preserve">SAENZ               </t>
  </si>
  <si>
    <t xml:space="preserve">LISETH                        </t>
  </si>
  <si>
    <t xml:space="preserve">ZULUAGA             </t>
  </si>
  <si>
    <t xml:space="preserve">PINEDA                        </t>
  </si>
  <si>
    <t xml:space="preserve">CLARA                         </t>
  </si>
  <si>
    <t xml:space="preserve">YENY                </t>
  </si>
  <si>
    <t xml:space="preserve">STEFFANY                      </t>
  </si>
  <si>
    <t xml:space="preserve">BAENA               </t>
  </si>
  <si>
    <t xml:space="preserve">ROLDAN              </t>
  </si>
  <si>
    <t xml:space="preserve">YEINIS              </t>
  </si>
  <si>
    <t xml:space="preserve">CORTES              </t>
  </si>
  <si>
    <t xml:space="preserve">ERWIN               </t>
  </si>
  <si>
    <t xml:space="preserve">DINA                </t>
  </si>
  <si>
    <t xml:space="preserve">MARIBEL                       </t>
  </si>
  <si>
    <t xml:space="preserve">ABELLA              </t>
  </si>
  <si>
    <t xml:space="preserve">BEJARANO                      </t>
  </si>
  <si>
    <t xml:space="preserve">BRIEN               </t>
  </si>
  <si>
    <t xml:space="preserve">BARRERA             </t>
  </si>
  <si>
    <t xml:space="preserve">INGRID              </t>
  </si>
  <si>
    <t xml:space="preserve">TIBOCHA             </t>
  </si>
  <si>
    <t xml:space="preserve">PEINADO                       </t>
  </si>
  <si>
    <t xml:space="preserve">HENRY                         </t>
  </si>
  <si>
    <t xml:space="preserve">PARADA              </t>
  </si>
  <si>
    <t xml:space="preserve">GERARDO                       </t>
  </si>
  <si>
    <t xml:space="preserve">RIVADENEIRA         </t>
  </si>
  <si>
    <t xml:space="preserve">TOVAR               </t>
  </si>
  <si>
    <t xml:space="preserve">FREIRE                        </t>
  </si>
  <si>
    <t xml:space="preserve">EDSON               </t>
  </si>
  <si>
    <t xml:space="preserve">ROMARIO                       </t>
  </si>
  <si>
    <t xml:space="preserve">LONDOÑO             </t>
  </si>
  <si>
    <t xml:space="preserve">CAROLINA            </t>
  </si>
  <si>
    <t xml:space="preserve">BETANCUR            </t>
  </si>
  <si>
    <t xml:space="preserve">ELEJALDE                      </t>
  </si>
  <si>
    <t xml:space="preserve">LADY                </t>
  </si>
  <si>
    <t xml:space="preserve">JOHANNA                       </t>
  </si>
  <si>
    <t xml:space="preserve">VIVAS               </t>
  </si>
  <si>
    <t xml:space="preserve">VEGA                </t>
  </si>
  <si>
    <t xml:space="preserve">SANTACRUZ           </t>
  </si>
  <si>
    <t xml:space="preserve">ANCIZAR             </t>
  </si>
  <si>
    <t xml:space="preserve">USUGA                         </t>
  </si>
  <si>
    <t xml:space="preserve">SIRLEY              </t>
  </si>
  <si>
    <t xml:space="preserve">COOPER              </t>
  </si>
  <si>
    <t xml:space="preserve">BETANCOURTH         </t>
  </si>
  <si>
    <t xml:space="preserve">TABORDA                       </t>
  </si>
  <si>
    <t xml:space="preserve">ALEXANDRA           </t>
  </si>
  <si>
    <t xml:space="preserve">CHING               </t>
  </si>
  <si>
    <t xml:space="preserve">GAIN                          </t>
  </si>
  <si>
    <t xml:space="preserve">FRANCO                        </t>
  </si>
  <si>
    <t xml:space="preserve">CATERINE            </t>
  </si>
  <si>
    <t xml:space="preserve">CASTELLANOS                   </t>
  </si>
  <si>
    <t xml:space="preserve">TATIANA                       </t>
  </si>
  <si>
    <t xml:space="preserve">MOLANO                        </t>
  </si>
  <si>
    <t xml:space="preserve">ELIAS               </t>
  </si>
  <si>
    <t xml:space="preserve">CCF06 </t>
  </si>
  <si>
    <t xml:space="preserve">ESPEJO              </t>
  </si>
  <si>
    <t xml:space="preserve">SASA                          </t>
  </si>
  <si>
    <t xml:space="preserve">IDARRAGA                      </t>
  </si>
  <si>
    <t xml:space="preserve">TITO                </t>
  </si>
  <si>
    <t xml:space="preserve">URUEÑA              </t>
  </si>
  <si>
    <t xml:space="preserve">PATRICIA                      </t>
  </si>
  <si>
    <t xml:space="preserve">ANGULO              </t>
  </si>
  <si>
    <t xml:space="preserve">ARTUNDUAGA                    </t>
  </si>
  <si>
    <t xml:space="preserve">ANGELA              </t>
  </si>
  <si>
    <t xml:space="preserve">MAGDA               </t>
  </si>
  <si>
    <t xml:space="preserve">ARBOLEDA            </t>
  </si>
  <si>
    <t xml:space="preserve">BETANCUR                      </t>
  </si>
  <si>
    <t xml:space="preserve">HENAO               </t>
  </si>
  <si>
    <t xml:space="preserve">PINTO                         </t>
  </si>
  <si>
    <t xml:space="preserve">JHONY               </t>
  </si>
  <si>
    <t xml:space="preserve">GUTIERREZ           </t>
  </si>
  <si>
    <t xml:space="preserve">CASALLAS                      </t>
  </si>
  <si>
    <t xml:space="preserve">LARIOS                        </t>
  </si>
  <si>
    <t xml:space="preserve">SHELLY              </t>
  </si>
  <si>
    <t xml:space="preserve">MAYID                         </t>
  </si>
  <si>
    <t xml:space="preserve">GONGORA             </t>
  </si>
  <si>
    <t xml:space="preserve">CADAVID             </t>
  </si>
  <si>
    <t xml:space="preserve">PASCUALES                     </t>
  </si>
  <si>
    <t xml:space="preserve">JHOAN               </t>
  </si>
  <si>
    <t xml:space="preserve">PARRA               </t>
  </si>
  <si>
    <t xml:space="preserve">ROJAS                         </t>
  </si>
  <si>
    <t xml:space="preserve">FERNANDA            </t>
  </si>
  <si>
    <t xml:space="preserve">BENAVIDES                     </t>
  </si>
  <si>
    <t xml:space="preserve">CARMEN              </t>
  </si>
  <si>
    <t xml:space="preserve">LUCIA                         </t>
  </si>
  <si>
    <t xml:space="preserve">BURBANO             </t>
  </si>
  <si>
    <t xml:space="preserve">QUENAN                        </t>
  </si>
  <si>
    <t xml:space="preserve">SARDOTH             </t>
  </si>
  <si>
    <t xml:space="preserve">EVER                </t>
  </si>
  <si>
    <t xml:space="preserve">ENRIQUE JUNIOR                </t>
  </si>
  <si>
    <t>ANAS WAYUU</t>
  </si>
  <si>
    <t xml:space="preserve">CRISTANCHO          </t>
  </si>
  <si>
    <t xml:space="preserve">CHAVEZ              </t>
  </si>
  <si>
    <t xml:space="preserve">BARRANTES                     </t>
  </si>
  <si>
    <t xml:space="preserve">MARINA                        </t>
  </si>
  <si>
    <t xml:space="preserve">VALDEZ                        </t>
  </si>
  <si>
    <t xml:space="preserve">GIOVANNY                      </t>
  </si>
  <si>
    <t xml:space="preserve">PRIETO              </t>
  </si>
  <si>
    <t xml:space="preserve">DALMA               </t>
  </si>
  <si>
    <t xml:space="preserve">GISELA                        </t>
  </si>
  <si>
    <t xml:space="preserve">TRUJILLO            </t>
  </si>
  <si>
    <t xml:space="preserve">AMAYA                         </t>
  </si>
  <si>
    <t xml:space="preserve">CUESTAS             </t>
  </si>
  <si>
    <t xml:space="preserve">IBAÑEZ                        </t>
  </si>
  <si>
    <t xml:space="preserve">OSSA                          </t>
  </si>
  <si>
    <t xml:space="preserve">CIFUENTES                     </t>
  </si>
  <si>
    <t xml:space="preserve">LILI                </t>
  </si>
  <si>
    <t xml:space="preserve">SYNDI               </t>
  </si>
  <si>
    <t xml:space="preserve">ADEL                </t>
  </si>
  <si>
    <t xml:space="preserve">CASAMACHIN          </t>
  </si>
  <si>
    <t xml:space="preserve">IBARRA                        </t>
  </si>
  <si>
    <t>MALLAMAS</t>
  </si>
  <si>
    <t xml:space="preserve">JIMENO              </t>
  </si>
  <si>
    <t xml:space="preserve">PADILLA                       </t>
  </si>
  <si>
    <t xml:space="preserve">TABARES             </t>
  </si>
  <si>
    <t xml:space="preserve">EDISON                        </t>
  </si>
  <si>
    <t xml:space="preserve">CHIA                          </t>
  </si>
  <si>
    <t>TOLIMA</t>
  </si>
  <si>
    <t>IBAGUE</t>
  </si>
  <si>
    <t xml:space="preserve">CCF50 </t>
  </si>
  <si>
    <t xml:space="preserve">SERGIO              </t>
  </si>
  <si>
    <t xml:space="preserve">PARRA                         </t>
  </si>
  <si>
    <t xml:space="preserve">YENNY               </t>
  </si>
  <si>
    <t xml:space="preserve">ROSALES             </t>
  </si>
  <si>
    <t xml:space="preserve">PARADA                        </t>
  </si>
  <si>
    <t xml:space="preserve">SUAREZ              </t>
  </si>
  <si>
    <t xml:space="preserve">OMAR                </t>
  </si>
  <si>
    <t xml:space="preserve">WILSON                        </t>
  </si>
  <si>
    <t xml:space="preserve">CAMPOS              </t>
  </si>
  <si>
    <t xml:space="preserve">QUESADA                       </t>
  </si>
  <si>
    <t xml:space="preserve">LEIDY               </t>
  </si>
  <si>
    <t>MOSQUERA</t>
  </si>
  <si>
    <t xml:space="preserve">SANTANA             </t>
  </si>
  <si>
    <t>CAJICA</t>
  </si>
  <si>
    <t xml:space="preserve">AREVALO             </t>
  </si>
  <si>
    <t xml:space="preserve">URREGO                        </t>
  </si>
  <si>
    <t xml:space="preserve">NIXON               </t>
  </si>
  <si>
    <t>CORDOBA</t>
  </si>
  <si>
    <t>MONTELIBANO</t>
  </si>
  <si>
    <t xml:space="preserve">CCF16 </t>
  </si>
  <si>
    <t xml:space="preserve">BONIVENTO           </t>
  </si>
  <si>
    <t xml:space="preserve">CELIS                         </t>
  </si>
  <si>
    <t xml:space="preserve">LINARES                       </t>
  </si>
  <si>
    <t xml:space="preserve">VILLA               </t>
  </si>
  <si>
    <t xml:space="preserve">JHOHANNS            </t>
  </si>
  <si>
    <t>QUINDIO</t>
  </si>
  <si>
    <t>ARMENIA</t>
  </si>
  <si>
    <t xml:space="preserve">CCF43 </t>
  </si>
  <si>
    <t xml:space="preserve">RONCANCIO                     </t>
  </si>
  <si>
    <t xml:space="preserve">HIGUITA                       </t>
  </si>
  <si>
    <t xml:space="preserve">PATERNINA           </t>
  </si>
  <si>
    <t xml:space="preserve">SAMUEL              </t>
  </si>
  <si>
    <t xml:space="preserve">BARRERA                       </t>
  </si>
  <si>
    <t xml:space="preserve">TOUS                </t>
  </si>
  <si>
    <t xml:space="preserve">BELLO                         </t>
  </si>
  <si>
    <t xml:space="preserve">FERMIN              </t>
  </si>
  <si>
    <t xml:space="preserve">NAJHELY                       </t>
  </si>
  <si>
    <t xml:space="preserve">ANGELICA            </t>
  </si>
  <si>
    <t xml:space="preserve">MELO                          </t>
  </si>
  <si>
    <t xml:space="preserve">SALOME                        </t>
  </si>
  <si>
    <t xml:space="preserve">PRADA                         </t>
  </si>
  <si>
    <t xml:space="preserve">SULMAR              </t>
  </si>
  <si>
    <t xml:space="preserve">GIRON                         </t>
  </si>
  <si>
    <t xml:space="preserve">PARRADO             </t>
  </si>
  <si>
    <t xml:space="preserve">GERLY               </t>
  </si>
  <si>
    <t xml:space="preserve">PRIETO                        </t>
  </si>
  <si>
    <t xml:space="preserve">AGUIRRE             </t>
  </si>
  <si>
    <t xml:space="preserve">MELQUI              </t>
  </si>
  <si>
    <t xml:space="preserve">JAIR                          </t>
  </si>
  <si>
    <t xml:space="preserve">PULIDO              </t>
  </si>
  <si>
    <t xml:space="preserve">RAMIREZ                       </t>
  </si>
  <si>
    <t xml:space="preserve">DANIELA             </t>
  </si>
  <si>
    <t xml:space="preserve">CIFUENTES           </t>
  </si>
  <si>
    <t xml:space="preserve">MONTOYA                       </t>
  </si>
  <si>
    <t xml:space="preserve">CASTRILLON                    </t>
  </si>
  <si>
    <t xml:space="preserve">GUAYACAN                      </t>
  </si>
  <si>
    <t xml:space="preserve">ORLANDO                       </t>
  </si>
  <si>
    <t xml:space="preserve">ESPITIA                       </t>
  </si>
  <si>
    <t xml:space="preserve">LOBO                </t>
  </si>
  <si>
    <t xml:space="preserve">KELY                </t>
  </si>
  <si>
    <t xml:space="preserve">SOTO                </t>
  </si>
  <si>
    <t>1001367947</t>
  </si>
  <si>
    <t>1002566068</t>
  </si>
  <si>
    <t xml:space="preserve">URIBE               </t>
  </si>
  <si>
    <t xml:space="preserve">BOTERO                        </t>
  </si>
  <si>
    <t>1000654687</t>
  </si>
  <si>
    <t xml:space="preserve">LEAL                </t>
  </si>
  <si>
    <t xml:space="preserve">MATIZ                         </t>
  </si>
  <si>
    <t xml:space="preserve">VILLEGAS                      </t>
  </si>
  <si>
    <t xml:space="preserve">OBANDO              </t>
  </si>
  <si>
    <t xml:space="preserve">CRYSTIAM            </t>
  </si>
  <si>
    <t xml:space="preserve">ZORRILLA                      </t>
  </si>
  <si>
    <t xml:space="preserve">MAIRON              </t>
  </si>
  <si>
    <t xml:space="preserve">DYLAN                         </t>
  </si>
  <si>
    <t xml:space="preserve">PEDRAZA             </t>
  </si>
  <si>
    <t xml:space="preserve">ARICAPA                       </t>
  </si>
  <si>
    <t xml:space="preserve">BRAHYAN             </t>
  </si>
  <si>
    <t xml:space="preserve">PAJON               </t>
  </si>
  <si>
    <t xml:space="preserve">NATALY              </t>
  </si>
  <si>
    <t xml:space="preserve">SOLIS               </t>
  </si>
  <si>
    <t xml:space="preserve">JOHNATTAN           </t>
  </si>
  <si>
    <t xml:space="preserve">BAREÑO              </t>
  </si>
  <si>
    <t xml:space="preserve">CLAROS              </t>
  </si>
  <si>
    <t xml:space="preserve">GARNICA                       </t>
  </si>
  <si>
    <t xml:space="preserve">PINZON              </t>
  </si>
  <si>
    <t xml:space="preserve">MOTTA                         </t>
  </si>
  <si>
    <t xml:space="preserve">STEVEN                        </t>
  </si>
  <si>
    <t xml:space="preserve">RIFFO               </t>
  </si>
  <si>
    <t xml:space="preserve">TINEO                         </t>
  </si>
  <si>
    <t xml:space="preserve">BRIAN               </t>
  </si>
  <si>
    <t xml:space="preserve">GERALD                        </t>
  </si>
  <si>
    <t xml:space="preserve">BEDOYA              </t>
  </si>
  <si>
    <t xml:space="preserve">TRESPALACIOS        </t>
  </si>
  <si>
    <t xml:space="preserve">GRANADILLO                    </t>
  </si>
  <si>
    <t xml:space="preserve">SALDARRIAGA         </t>
  </si>
  <si>
    <t xml:space="preserve">GARRIDO             </t>
  </si>
  <si>
    <t xml:space="preserve">MARULANDA                     </t>
  </si>
  <si>
    <t xml:space="preserve">PABON               </t>
  </si>
  <si>
    <t xml:space="preserve">BRAYAN              </t>
  </si>
  <si>
    <t xml:space="preserve">ANDREY                        </t>
  </si>
  <si>
    <t xml:space="preserve">ANGI                </t>
  </si>
  <si>
    <t xml:space="preserve">CARRASQUEL          </t>
  </si>
  <si>
    <t xml:space="preserve">RONNY               </t>
  </si>
  <si>
    <t xml:space="preserve">VANESSA             </t>
  </si>
  <si>
    <t xml:space="preserve">LUQUE               </t>
  </si>
  <si>
    <t xml:space="preserve">PAEZ                </t>
  </si>
  <si>
    <t xml:space="preserve">SANJONELO                     </t>
  </si>
  <si>
    <t xml:space="preserve">BETTY               </t>
  </si>
  <si>
    <t>cc</t>
  </si>
  <si>
    <t>salario</t>
  </si>
  <si>
    <t xml:space="preserve">Inc. Enfermedad Comun Asumida          </t>
  </si>
  <si>
    <t xml:space="preserve">Inc. Enfermedad Comun Asumida             </t>
  </si>
  <si>
    <t>nuevo salario</t>
  </si>
  <si>
    <t>IBC ACTUAL</t>
  </si>
  <si>
    <t>NOMBRES EMPLEADO</t>
  </si>
  <si>
    <t>NOMBRE CONCEPTO</t>
  </si>
  <si>
    <t>DEVENGOS</t>
  </si>
  <si>
    <t>200016</t>
  </si>
  <si>
    <t>Descuento bonificacion bravo</t>
  </si>
  <si>
    <t>LAVERDE REY ZULLY PAOLA</t>
  </si>
  <si>
    <t>001177</t>
  </si>
  <si>
    <t>Aux. Inc. Enfermedad Comun Asumida</t>
  </si>
  <si>
    <t>VACACIONES EN DINERO ES SOLO CON EL SALARIO ACTUAL, NO SE COLOCA VARIABLE</t>
  </si>
  <si>
    <t xml:space="preserve">DESGLOCE INCAPACIDAD NOVASOFT </t>
  </si>
  <si>
    <t xml:space="preserve">INCAPACIDADES CON EL IBC MES ANTERIOR </t>
  </si>
  <si>
    <t>INTEGRAL</t>
  </si>
  <si>
    <t>ORDINARIO</t>
  </si>
  <si>
    <t>dias</t>
  </si>
  <si>
    <t>%</t>
  </si>
  <si>
    <t>concepto</t>
  </si>
  <si>
    <t>des concepto</t>
  </si>
  <si>
    <t>ibc mes anterior</t>
  </si>
  <si>
    <t>valor integral</t>
  </si>
  <si>
    <t>valor ordinario</t>
  </si>
  <si>
    <t xml:space="preserve">20031311    </t>
  </si>
  <si>
    <t>&gt;2 dias</t>
  </si>
  <si>
    <t>&lt; 2 dias</t>
  </si>
  <si>
    <t>calculo normal</t>
  </si>
  <si>
    <t>diferencia</t>
  </si>
  <si>
    <t>el factor prestacional en integral se dejara sobre el 100% del ibc mes anterior no sobre el 70% por archivo plano</t>
  </si>
  <si>
    <t>STRATEGIC ACCOUNT MANAGER, END USER</t>
  </si>
  <si>
    <t>jjavello@rockwellautomation.com</t>
  </si>
  <si>
    <t>SALES MANAGER, TERRITORY</t>
  </si>
  <si>
    <t>CL 107A 7C 49 AP 2 402</t>
  </si>
  <si>
    <t>BUSINESS DEVELOPMENT MANAGER, EPC</t>
  </si>
  <si>
    <t>CL 26 22 83 AP 601</t>
  </si>
  <si>
    <t>HBRAVO@ROCKWELLAUTOMATION.COM</t>
  </si>
  <si>
    <t>orico@rockwellautomation.com</t>
  </si>
  <si>
    <t>jrodri52@rockwellautomation.com</t>
  </si>
  <si>
    <t>CR 7 156 78 P 19</t>
  </si>
  <si>
    <t>CR 73  152 B 65</t>
  </si>
  <si>
    <t>JRamir26@rockwellautomation.com</t>
  </si>
  <si>
    <t>CR 55 152B 68</t>
  </si>
  <si>
    <t>RLizcan@ra.rockwell.com</t>
  </si>
  <si>
    <t>CL FARALLONES VERDE ALFAGUARA</t>
  </si>
  <si>
    <t>GVELASC@rockwellautomation.com</t>
  </si>
  <si>
    <t>CL 106A 17A 15</t>
  </si>
  <si>
    <t>SALES MANAGER, END USER</t>
  </si>
  <si>
    <t>ACCOUNT MANAGER, OEM</t>
  </si>
  <si>
    <t>ebeltra2@ra.rockwell.com</t>
  </si>
  <si>
    <t>CL 36 SUR  23A 14</t>
  </si>
  <si>
    <t>djaureg@rockwellautomation.com</t>
  </si>
  <si>
    <t>SENIOR ENGINEER, REMOTE SUPPORT</t>
  </si>
  <si>
    <t>CR 72 BIS 147 60  T 3 AP 101</t>
  </si>
  <si>
    <t>CL 20 116 105</t>
  </si>
  <si>
    <t>ACCOUNT MANAGER, END USER</t>
  </si>
  <si>
    <t>VR CERCA DE PIEDRA</t>
  </si>
  <si>
    <t>CBulla@ra.rockwell.com</t>
  </si>
  <si>
    <t>SR, ENGINEER, MANAGED APPLICATION SUPPORT</t>
  </si>
  <si>
    <t>JMesaRo@rockwellautomation.com</t>
  </si>
  <si>
    <t>TEAM LEADER, REMOTE SUPPORT</t>
  </si>
  <si>
    <t>NPortil1@rockwellautomation.com</t>
  </si>
  <si>
    <t>NVO BOSQUE E1 MZ30 L7</t>
  </si>
  <si>
    <t>CR 15 8 11</t>
  </si>
  <si>
    <t>JLeon1@rockwellautomation.com</t>
  </si>
  <si>
    <t>JVarga13@rockwellautomation.com</t>
  </si>
  <si>
    <t>CL 168 9 71</t>
  </si>
  <si>
    <t>REGIONAL DIRECTOR, ANDEAN</t>
  </si>
  <si>
    <t>CL 159 7 74</t>
  </si>
  <si>
    <t>AMayaQu@rockwellautomation.com</t>
  </si>
  <si>
    <t>CL 144 7 31</t>
  </si>
  <si>
    <t>VR PALACIO SUTATAUSA</t>
  </si>
  <si>
    <t>CR 27A  27 E SUR 51</t>
  </si>
  <si>
    <t>TECHNICAL LEAD</t>
  </si>
  <si>
    <t>CL 91 A SUR  14 A 54</t>
  </si>
  <si>
    <t>CL 75 A A SUR 53  90</t>
  </si>
  <si>
    <t>CARLOSANDRES.SILVAAGUDELO@ROCKWELLAUTOMATION.COM</t>
  </si>
  <si>
    <t>SR. HR BUSINESS PARTNER-GSM GLOBAL FUNCTIONS</t>
  </si>
  <si>
    <t>CL 25 SUR 41 35</t>
  </si>
  <si>
    <t>CL 94 15 95</t>
  </si>
  <si>
    <t xml:space="preserve">EL ENCANTO                    </t>
  </si>
  <si>
    <t>SPS REGIONAL MANAGER-ANDIAN REGION</t>
  </si>
  <si>
    <t>Camilo.Botero@rockwellautomation.com</t>
  </si>
  <si>
    <t>TEAM LEAD, CHANNEL</t>
  </si>
  <si>
    <t>CR 18 A 182 59</t>
  </si>
  <si>
    <t>PROJECT ENGINEER,MANAGED SERVICES</t>
  </si>
  <si>
    <t>ASSET MANAGEMENT PROFESSIONAL</t>
  </si>
  <si>
    <t>CR 68 C BIS  37B 35 SUR</t>
  </si>
  <si>
    <t>HR ANALYST-NA</t>
  </si>
  <si>
    <t>ROKFUSION SUPPOORT OPS LEAD</t>
  </si>
  <si>
    <t>CL 1 SUR 5 ESTE 06</t>
  </si>
  <si>
    <t>ENGINEER, REMOTE SUPPORT</t>
  </si>
  <si>
    <t>CR 39 77 SUR  84 AP 805</t>
  </si>
  <si>
    <t>CL 156  9  24 TO 3 I 4 AP 302</t>
  </si>
  <si>
    <t>CR 3 W 8N 265 TO 4 AP 1025</t>
  </si>
  <si>
    <t>CL 75  73 23</t>
  </si>
  <si>
    <t>CL 159 7 74 AP 1610 E. 7MA AV</t>
  </si>
  <si>
    <t>CR 44 18 56 AP 806</t>
  </si>
  <si>
    <t>CL 44 109 29 AP I201</t>
  </si>
  <si>
    <t>SENIOR ENGINEER- SOFTWARE QUALITY</t>
  </si>
  <si>
    <t>CR 2 ESTE 5 20</t>
  </si>
  <si>
    <t>PRODUCTION OPERATIONS ENGINEER SENSIA</t>
  </si>
  <si>
    <t>CR 11 140 41</t>
  </si>
  <si>
    <t>CL 142  13  33</t>
  </si>
  <si>
    <t>ANITA MZ G LOTE 9 EDIFICIO GENESIS AP 201</t>
  </si>
  <si>
    <t>CL 70 BIS 4C 103</t>
  </si>
  <si>
    <t>DanielSteveen.Ocampo@rockwellautomation.com</t>
  </si>
  <si>
    <t>CL 46 D SUR 42 D 80</t>
  </si>
  <si>
    <t>CR 78A 34 23 AP 601</t>
  </si>
  <si>
    <t>SOFTWARE ENGINEER</t>
  </si>
  <si>
    <t>CL 47A  87 23</t>
  </si>
  <si>
    <t>CL 13 SUR 2 A  67</t>
  </si>
  <si>
    <t>CR 63B 37 26 101</t>
  </si>
  <si>
    <t>CR 76 A  3 C  35</t>
  </si>
  <si>
    <t>ENGINEER SR., FUNCTIONAL SAFETY</t>
  </si>
  <si>
    <t>CL 7 83 31 AP 2125</t>
  </si>
  <si>
    <t>CR 49A 44 77 I 303</t>
  </si>
  <si>
    <t>CL 2 B 81A 513</t>
  </si>
  <si>
    <t>VEREDA LA MOSQUITA</t>
  </si>
  <si>
    <t>CR 74A 96 11 CA P 2</t>
  </si>
  <si>
    <t>CR 45 ESTE 56 E 245</t>
  </si>
  <si>
    <t>WORPLACE SERVICES  MGR-LA</t>
  </si>
  <si>
    <t>CL 32 32 40</t>
  </si>
  <si>
    <t>CR 6 3 10</t>
  </si>
  <si>
    <t>SUPERVISOR/PROJECT MANAGER, MANAGED SERVICES</t>
  </si>
  <si>
    <t>CL 49G 96B 61 AP 201</t>
  </si>
  <si>
    <t>CR 65 25 92 I 202</t>
  </si>
  <si>
    <t>CR 30 19 210 AP 2023</t>
  </si>
  <si>
    <t>CL 150 12A 33</t>
  </si>
  <si>
    <t>PARTNER MANAGER, SYSTEM INTEGRATOR</t>
  </si>
  <si>
    <t>CL 47  65  14</t>
  </si>
  <si>
    <t>CR 50 99 SUR 69 AP 1317</t>
  </si>
  <si>
    <t>CR 64 48 A 45</t>
  </si>
  <si>
    <t>CL 27 41 86 AP 1003</t>
  </si>
  <si>
    <t>CL 60 SUR 39 55 AP 2004</t>
  </si>
  <si>
    <t>CL 38 B SUR 26 01 AP 509 T 3</t>
  </si>
  <si>
    <t>CR 54  135 35</t>
  </si>
  <si>
    <t>ASSOCIATE ENGINEER, REMOTE SUPPORT</t>
  </si>
  <si>
    <t>CR 103 B  152  51</t>
  </si>
  <si>
    <t>CR 2 ESTE 21 43  TO 1 AP 408</t>
  </si>
  <si>
    <t>CL 138  54  60 TO 3 AP 901</t>
  </si>
  <si>
    <t>Jorge.Rivadeneira@rockwellautomation.com</t>
  </si>
  <si>
    <t>CR 60 37B 130 AP 912 TO 3</t>
  </si>
  <si>
    <t>CR 81B 7 A 49 I 107</t>
  </si>
  <si>
    <t>CR 27 36 SUR  151</t>
  </si>
  <si>
    <t>TV 32 CC SUR  31 BA 39</t>
  </si>
  <si>
    <t>CR 2 E  22 120</t>
  </si>
  <si>
    <t>CR 33 29  22 AP 1810</t>
  </si>
  <si>
    <t>CR 79 13B  159 TO 5 AP 1008</t>
  </si>
  <si>
    <t>CIR 3 66B 16 AP 601 TO 2</t>
  </si>
  <si>
    <t>CL 147 9 60</t>
  </si>
  <si>
    <t>CR 50D 6 SUR 30</t>
  </si>
  <si>
    <t>CR 3 32C 09</t>
  </si>
  <si>
    <t>CL 21 4 34</t>
  </si>
  <si>
    <t>CR 19 C 40 B 28 202</t>
  </si>
  <si>
    <t>ENGINEER, MANAGED SERVICES</t>
  </si>
  <si>
    <t>DG 40 14B 10</t>
  </si>
  <si>
    <t>CL 78E SUR 47C 80</t>
  </si>
  <si>
    <t>ACCOUNT MANAGER, HUNTER</t>
  </si>
  <si>
    <t>CL 3A 23 40 TO 2 AP 904</t>
  </si>
  <si>
    <t>CL 67N 4B 77</t>
  </si>
  <si>
    <t>ANGEL.VALDERRAMA@sensiaglobal.com</t>
  </si>
  <si>
    <t>CR 69 D  24C 50</t>
  </si>
  <si>
    <t>CR 44 40  31</t>
  </si>
  <si>
    <t>CRISTINA.DURAN@sensiaglobal.com</t>
  </si>
  <si>
    <t>CL 87 103C 50 CA 144</t>
  </si>
  <si>
    <t>CL 35 16 A 33</t>
  </si>
  <si>
    <t>JhonyAlexander.Garcia@rockwellautomation.com</t>
  </si>
  <si>
    <t>CL 94 21 68 AP 603</t>
  </si>
  <si>
    <t>CL 42 SUR 3 65 A 70 CA 141</t>
  </si>
  <si>
    <t>CL 67  6 39 AP 1508</t>
  </si>
  <si>
    <t>CL 92  67 A 13</t>
  </si>
  <si>
    <t>SUPERVISOR, MANAGED SERVICES</t>
  </si>
  <si>
    <t>CL 69A  91 33</t>
  </si>
  <si>
    <t>CR 53 A  45 84</t>
  </si>
  <si>
    <t>CL 90 50 A  22</t>
  </si>
  <si>
    <t>CR 58A 73F 13 SUR</t>
  </si>
  <si>
    <t>CristianGiovanny.Martinez@rockwellautomation.com</t>
  </si>
  <si>
    <t>CL 74  85 08</t>
  </si>
  <si>
    <t>CL 78 SUR 35 100</t>
  </si>
  <si>
    <t>CR 55C 161 A 21 AP 406</t>
  </si>
  <si>
    <t>CL 144  12  31</t>
  </si>
  <si>
    <t>CL 9 B SUR  79 A 75</t>
  </si>
  <si>
    <t>CL 114A 32 15</t>
  </si>
  <si>
    <t>CR 11A 190 46 TO 3 AP 709</t>
  </si>
  <si>
    <t>CL 27 SUR 27B 63 CA 115</t>
  </si>
  <si>
    <t>CL 49  48 39</t>
  </si>
  <si>
    <t>CL 11 A  8B  03</t>
  </si>
  <si>
    <t>CL 32  31  20 AP 1201</t>
  </si>
  <si>
    <t>CL 19 8 A 89 ESTE TO 16 AP 304</t>
  </si>
  <si>
    <t>CL 7 11 15</t>
  </si>
  <si>
    <t>PROJECT ENGINEER JUNIOR</t>
  </si>
  <si>
    <t>CR 34 4A 15</t>
  </si>
  <si>
    <t>CL 3 20 48</t>
  </si>
  <si>
    <t>CR 11 ESTE 36G 80 SUR</t>
  </si>
  <si>
    <t>CL 72  38 186 AP 606</t>
  </si>
  <si>
    <t>CR 73 5265 AP 1109</t>
  </si>
  <si>
    <t>CL 39A 20 13</t>
  </si>
  <si>
    <t>SENIOR ENGINEER, MANAGED SERVICES</t>
  </si>
  <si>
    <t>CL 63 69N 24</t>
  </si>
  <si>
    <t>CL 34 C 88 B 55 I 530</t>
  </si>
  <si>
    <t>CR 11  11 37 SUR</t>
  </si>
  <si>
    <t>CL 152B 104 50</t>
  </si>
  <si>
    <t>CR 87 A 127 48</t>
  </si>
  <si>
    <t>CL 4 1 39</t>
  </si>
  <si>
    <t>CR 5 6B 98 AP 508</t>
  </si>
  <si>
    <t>CR 91C 47B 56</t>
  </si>
  <si>
    <t>TV 32E 74C 31 AP 402</t>
  </si>
  <si>
    <t>DG 46 76 39 TO 1 AP 603</t>
  </si>
  <si>
    <t>TERRITORY SERVICE MANAGER ANDEAN REGION</t>
  </si>
  <si>
    <t>DG 40C SUR 73A 20  I 2 AP 302</t>
  </si>
  <si>
    <t>CR 61 26 54 TO 2</t>
  </si>
  <si>
    <t>CR 60 79B 04</t>
  </si>
  <si>
    <t>LuisFelipe.Cifuentes@rockwellautomation.com</t>
  </si>
  <si>
    <t>DG 50A  32 200 AP 2620</t>
  </si>
  <si>
    <t>CL 83 A 116 A 85</t>
  </si>
  <si>
    <t>CL 10 15 42</t>
  </si>
  <si>
    <t>CR 34 35 29</t>
  </si>
  <si>
    <t>CR 54 35 21 SUR</t>
  </si>
  <si>
    <t>CR 39C 29 B 16 SUR</t>
  </si>
  <si>
    <t>CL 99 S 49D 73</t>
  </si>
  <si>
    <t>SOFTWARE ENGINNER  APPLICATIONS</t>
  </si>
  <si>
    <t>CR 27G 36 D SUR 25 AP 613</t>
  </si>
  <si>
    <t>CR 15 170 81 TO 5 AP 1703</t>
  </si>
  <si>
    <t>COMMERCIAL PROGRAM MANAGER</t>
  </si>
  <si>
    <t>CR 74A  98 75 I 301</t>
  </si>
  <si>
    <t>CL 104 70 68</t>
  </si>
  <si>
    <t>CL 99 65 64</t>
  </si>
  <si>
    <t>CR 93A  38C 28 SUR</t>
  </si>
  <si>
    <t>CR 15 170 81</t>
  </si>
  <si>
    <t>CL 182A 16 47</t>
  </si>
  <si>
    <t>CL 167 58B 76</t>
  </si>
  <si>
    <t>CL 118 43 46 AP 1201 TO 2</t>
  </si>
  <si>
    <t>DG 47A 16 A SUR 74 AP 301</t>
  </si>
  <si>
    <t>CL 43 1 348</t>
  </si>
  <si>
    <t>CL 69D  112 35</t>
  </si>
  <si>
    <t>DG 32 33 A SUR  25 AP 604</t>
  </si>
  <si>
    <t>VanessaCarolina.Rivera@rockwellautomation.com</t>
  </si>
  <si>
    <t>SOFTWARE ENGINEER-SAP ABAP DEVELOPER</t>
  </si>
  <si>
    <t>Santiago.Luque@rockwellautomation.com</t>
  </si>
  <si>
    <t>Juliana.Uribe@rockwellautomation.com</t>
  </si>
  <si>
    <t>PAGOS INDIRECTOS</t>
  </si>
  <si>
    <t>TIPO DE LIQUIDACION</t>
  </si>
  <si>
    <t>FECHA DE CORTE</t>
  </si>
  <si>
    <t>FECHA DE LIQUIDACION</t>
  </si>
  <si>
    <t>ORIGEN</t>
  </si>
  <si>
    <t>COMPAÑIA</t>
  </si>
  <si>
    <t>CENTRO DE COSTOS</t>
  </si>
  <si>
    <t>SUELDO BASICO</t>
  </si>
  <si>
    <t xml:space="preserve">Liquidación de Nómina         </t>
  </si>
  <si>
    <t>HISTORICOS</t>
  </si>
  <si>
    <t>ROCKWELL AUTOMATION COLOMBIA S A</t>
  </si>
  <si>
    <t>Etiquetas de columna</t>
  </si>
  <si>
    <t>100010</t>
  </si>
  <si>
    <t>Grossup</t>
  </si>
  <si>
    <t>100018</t>
  </si>
  <si>
    <t>100038</t>
  </si>
  <si>
    <t>Devolucion aporte vol proteccion</t>
  </si>
  <si>
    <t>200020</t>
  </si>
  <si>
    <t>Descuento anticipo nomina</t>
  </si>
  <si>
    <t>TOTALES</t>
  </si>
  <si>
    <t>5245</t>
  </si>
  <si>
    <t>104030</t>
  </si>
  <si>
    <t>201300</t>
  </si>
  <si>
    <t>Retencion Stock Options</t>
  </si>
  <si>
    <t>5203</t>
  </si>
  <si>
    <t>MARKET ACCESS PROGRAM MANAGER</t>
  </si>
  <si>
    <t xml:space="preserve">Liquidacion de Contrato       </t>
  </si>
  <si>
    <t>001146</t>
  </si>
  <si>
    <t xml:space="preserve">Vacaciones en Liq de Contrato                     </t>
  </si>
  <si>
    <t xml:space="preserve">Pago Incapacidad E.P.S.                           </t>
  </si>
  <si>
    <t xml:space="preserve">Descanso compensatorio                            </t>
  </si>
  <si>
    <t>200023</t>
  </si>
  <si>
    <t>Retencion stock options</t>
  </si>
  <si>
    <t>104025</t>
  </si>
  <si>
    <t>GUZMAN VALENCIA JOHNNATAN</t>
  </si>
  <si>
    <t>5488</t>
  </si>
  <si>
    <t>CUSTOMER QUALITY MANAGER</t>
  </si>
  <si>
    <t>001092</t>
  </si>
  <si>
    <t>Pago Dominical Liquidación De Contrato</t>
  </si>
  <si>
    <t>001560</t>
  </si>
  <si>
    <t xml:space="preserve">Cesantías                                         </t>
  </si>
  <si>
    <t xml:space="preserve">Intereses Sobre Cesantías                         </t>
  </si>
  <si>
    <t>100024</t>
  </si>
  <si>
    <t>Devolucion ap fsp</t>
  </si>
  <si>
    <t>100030</t>
  </si>
  <si>
    <t>Devolucion ap salud eps</t>
  </si>
  <si>
    <t>100031</t>
  </si>
  <si>
    <t>Devolucion ap afp</t>
  </si>
  <si>
    <t>100036</t>
  </si>
  <si>
    <t>Descuento FS Empresa</t>
  </si>
  <si>
    <t>200030</t>
  </si>
  <si>
    <t>Descuento auxilio conectividad</t>
  </si>
  <si>
    <t>200035</t>
  </si>
  <si>
    <t>Descuento salario ordinario</t>
  </si>
  <si>
    <t>104015</t>
  </si>
  <si>
    <t>MENDOZA  RAUL</t>
  </si>
  <si>
    <t>001600</t>
  </si>
  <si>
    <t xml:space="preserve">Indemnización                                     </t>
  </si>
  <si>
    <t>003330</t>
  </si>
  <si>
    <t xml:space="preserve">Rete. Fte Indemnización                           </t>
  </si>
  <si>
    <t>200031</t>
  </si>
  <si>
    <t>Descuento salario integral</t>
  </si>
  <si>
    <t>5506</t>
  </si>
  <si>
    <t xml:space="preserve">Cesantias Parciales                               </t>
  </si>
  <si>
    <t>001535</t>
  </si>
  <si>
    <t xml:space="preserve">Intereses Cesantias Parciales                     </t>
  </si>
  <si>
    <t>5523</t>
  </si>
  <si>
    <t>5528</t>
  </si>
  <si>
    <t>104066</t>
  </si>
  <si>
    <t>5444</t>
  </si>
  <si>
    <t>104033</t>
  </si>
  <si>
    <t>FORERO ACOSTA LEONARDO</t>
  </si>
  <si>
    <t>104054</t>
  </si>
  <si>
    <t>104004</t>
  </si>
  <si>
    <t>AMEZQUITA TORRES PEDRO ANTONIO</t>
  </si>
  <si>
    <t>DIAZ GUZMAN JUAN CARLOS</t>
  </si>
  <si>
    <t>104022</t>
  </si>
  <si>
    <t>100022</t>
  </si>
  <si>
    <t>Bonificacion EBP-SENSIA</t>
  </si>
  <si>
    <t>203300</t>
  </si>
  <si>
    <t>Retencion Fuente Voluntario</t>
  </si>
  <si>
    <t>6050</t>
  </si>
  <si>
    <t>6060</t>
  </si>
  <si>
    <t>POLENTINO USECHE JORGE LISANDRO</t>
  </si>
  <si>
    <t>104040</t>
  </si>
  <si>
    <t>6080</t>
  </si>
  <si>
    <t>6088</t>
  </si>
  <si>
    <t>6093</t>
  </si>
  <si>
    <t>DIAZ BALLESTEROS MARIANA</t>
  </si>
  <si>
    <t>QUALITY AUDITOR</t>
  </si>
  <si>
    <t>001056</t>
  </si>
  <si>
    <t xml:space="preserve">Horas de Permiso Remunerad                        </t>
  </si>
  <si>
    <t>6100</t>
  </si>
  <si>
    <t>6103</t>
  </si>
  <si>
    <t>6123</t>
  </si>
  <si>
    <t>200021</t>
  </si>
  <si>
    <t>Licencia no remunerada</t>
  </si>
  <si>
    <t>104051</t>
  </si>
  <si>
    <t>6126</t>
  </si>
  <si>
    <t>6128</t>
  </si>
  <si>
    <t>6132</t>
  </si>
  <si>
    <t>6134</t>
  </si>
  <si>
    <t>6139</t>
  </si>
  <si>
    <t>6141</t>
  </si>
  <si>
    <t>6146</t>
  </si>
  <si>
    <t>6151</t>
  </si>
  <si>
    <t>104053</t>
  </si>
  <si>
    <t>6156</t>
  </si>
  <si>
    <t>6164</t>
  </si>
  <si>
    <t>6165</t>
  </si>
  <si>
    <t>6162</t>
  </si>
  <si>
    <t>200013</t>
  </si>
  <si>
    <t>Descuento Autorizado</t>
  </si>
  <si>
    <t>6167</t>
  </si>
  <si>
    <t>OSORIO TREJOS CRISTIAN</t>
  </si>
  <si>
    <t>PERDOMO GARAVITO DANIELA MARIA</t>
  </si>
  <si>
    <t>TABARES PEREZ LAURA ISABELLA</t>
  </si>
  <si>
    <t>200005</t>
  </si>
  <si>
    <t>Aporte  AFC Banco de Bogota</t>
  </si>
  <si>
    <t>BARRETO MANCILLA JUAN CARLOS</t>
  </si>
  <si>
    <t>AGUDELO ORTIZ DIEGO ALEXANDER</t>
  </si>
  <si>
    <t>REY ROJAS ANGEL FERNEY</t>
  </si>
  <si>
    <t>NARANJO HURTADO LAURA DANIELA</t>
  </si>
  <si>
    <t>104005</t>
  </si>
  <si>
    <t>104052</t>
  </si>
  <si>
    <t>ALEXANDRO CASTELLANO ARTURO</t>
  </si>
  <si>
    <t>TRANSPORTATION MANAGER - LATAM</t>
  </si>
  <si>
    <t>GUERRERO MOYA JUAN CARLOS</t>
  </si>
  <si>
    <t>SENIOR SAP COMMERCE BUSINESS ANALYST</t>
  </si>
  <si>
    <t>OCHOA LOPEZ JOHN ALEXANDER</t>
  </si>
  <si>
    <t>100016</t>
  </si>
  <si>
    <t>Premio Latam Misc</t>
  </si>
  <si>
    <t>104056</t>
  </si>
  <si>
    <t>100025</t>
  </si>
  <si>
    <t>Reintegro dto medicina prepagada</t>
  </si>
  <si>
    <t>LOPEZ RAMOS DANIEL ERNESTO</t>
  </si>
  <si>
    <t>GONZALEZ DELGADO DESIREE</t>
  </si>
  <si>
    <t>CASTAÑO RODRIGUEZ JULIANA MARIA</t>
  </si>
  <si>
    <t>MARIN SALAZAR JULIANA</t>
  </si>
  <si>
    <t>104032</t>
  </si>
  <si>
    <t>DAZA SEJAS CARLOS</t>
  </si>
  <si>
    <t>ALADINO RAMIREZ MARIA ALEXANDRA</t>
  </si>
  <si>
    <t>CORTÉS RODRÍGUEZ EDWIN ORLANDO</t>
  </si>
  <si>
    <t>VELÁSQUEZ ROJAS LUIS DAVID</t>
  </si>
  <si>
    <t>MORENO SUÁREZ MARÍA ANGÉLICA</t>
  </si>
  <si>
    <t>HERNÁNDEZ RODRIGUEZ JULIÁN ALFREDO</t>
  </si>
  <si>
    <t>100104</t>
  </si>
  <si>
    <t>Bonificacion Sales Olympian</t>
  </si>
  <si>
    <t>TEAM LEAD COE SUPPLY CHAIN WH</t>
  </si>
  <si>
    <t>DMI SUPPLY PLANNER</t>
  </si>
  <si>
    <t>MARKETING LEAD, ANDEAN</t>
  </si>
  <si>
    <t>GIGLIOLI REYES JOHANNA ALEJANDRA</t>
  </si>
  <si>
    <t>BARROS LINAN HUGO LUIS</t>
  </si>
  <si>
    <t>GARCIA LONDOÑO SANDRA MILENA</t>
  </si>
  <si>
    <t>104011</t>
  </si>
  <si>
    <t>PAZ MUÑOZ JOSE DAVID</t>
  </si>
  <si>
    <t>ANGULO LOPEZ DAIRO LUIS</t>
  </si>
  <si>
    <t>GÓMEZ RESTREPO JERÓNIMO</t>
  </si>
  <si>
    <t>CARDONA ECHEVERRI SANTIAGO</t>
  </si>
  <si>
    <t>TORO ARANGO DAVID ESTEBAN</t>
  </si>
  <si>
    <t>URIBE BOTERO MARIA ALEJANDRA</t>
  </si>
  <si>
    <t>INTERN UX DESIGNER</t>
  </si>
  <si>
    <t>SIERRA MEJÍA JUAN JOSÉ</t>
  </si>
  <si>
    <t>SARMIENTO NAVARRO MATEO</t>
  </si>
  <si>
    <t>HR INTERN</t>
  </si>
  <si>
    <t>VALLEJO MORALES ESTEBAN</t>
  </si>
  <si>
    <t>RESTREPO MENA JAIR</t>
  </si>
  <si>
    <t>200032</t>
  </si>
  <si>
    <t>Adicional ap salud eps</t>
  </si>
  <si>
    <t>200033</t>
  </si>
  <si>
    <t>Adicional ap afp</t>
  </si>
  <si>
    <t>104014</t>
  </si>
  <si>
    <t>MEJIA RODRIGUEZ DANIEL SANTIAGO</t>
  </si>
  <si>
    <t>DURANGO RIVERA ENRIQUE</t>
  </si>
  <si>
    <t>BENAVIDES MORENO LUIS GUILLERMO</t>
  </si>
  <si>
    <t>SR. LINUX DEVOPS ENGINEER</t>
  </si>
  <si>
    <t>CORTES MUÑOZ JUAN PABLO</t>
  </si>
  <si>
    <t>POLENTINO USECHE EMELY</t>
  </si>
  <si>
    <t>BUYER JUNIOR</t>
  </si>
  <si>
    <t>BOGOTA 6.96%</t>
  </si>
  <si>
    <t>5331401</t>
  </si>
  <si>
    <t xml:space="preserve">PAEZ                          </t>
  </si>
  <si>
    <t xml:space="preserve">JULIANA             </t>
  </si>
  <si>
    <t xml:space="preserve">BEJARANO            </t>
  </si>
  <si>
    <t xml:space="preserve">DE LA PAVA                    </t>
  </si>
  <si>
    <t xml:space="preserve">MONTOYA             </t>
  </si>
  <si>
    <t xml:space="preserve">QUIÑONES                      </t>
  </si>
  <si>
    <t>(en blanco)</t>
  </si>
  <si>
    <t>200010</t>
  </si>
  <si>
    <t>Aporte  AFC FNA</t>
  </si>
  <si>
    <t>Aporte AFC FNA</t>
  </si>
  <si>
    <t>OBSERVACION</t>
  </si>
  <si>
    <t>Employee No</t>
  </si>
  <si>
    <t>Surname</t>
  </si>
  <si>
    <t>Element Type</t>
  </si>
  <si>
    <t>Entitled From</t>
  </si>
  <si>
    <t>Transportation Allowance</t>
  </si>
  <si>
    <t>Payment</t>
  </si>
  <si>
    <t xml:space="preserve">ibc </t>
  </si>
  <si>
    <t>valor</t>
  </si>
  <si>
    <t>DIF</t>
  </si>
  <si>
    <t>Retencion adicional</t>
  </si>
  <si>
    <t>RET ADICIONAL</t>
  </si>
  <si>
    <t>CRISTIAN GIOVANNY MARTINEZ VALDEZ</t>
  </si>
  <si>
    <t>DUBIAN YAMID JAUREGUI PACHECO</t>
  </si>
  <si>
    <t>AGUDELO TRILLERAS JULIO CESAR</t>
  </si>
  <si>
    <t>DOVAL MARTINEZ BORIS ANDRES</t>
  </si>
  <si>
    <t>CARREÑO GALVIS HECTOR OSWALDO</t>
  </si>
  <si>
    <t xml:space="preserve">nomina </t>
  </si>
  <si>
    <t>dif</t>
  </si>
  <si>
    <t>DG 77 B 116 B 42 IN 6 TO 3 AP 1020</t>
  </si>
  <si>
    <t>CL 175 17A  11 CASA 124</t>
  </si>
  <si>
    <t>CR 6 21A 41 CASA 3</t>
  </si>
  <si>
    <t>CR 49 103 B 05 AP 301 EDIF ARCOIRIS</t>
  </si>
  <si>
    <t>CL 168A 58A 37 CASA 40</t>
  </si>
  <si>
    <t>CL 10 11 18 SUR  T 7 APT 328</t>
  </si>
  <si>
    <t>CL 67 NO 50B 12 AP 506</t>
  </si>
  <si>
    <t>CL 152A 13 58 T 3 AP 402</t>
  </si>
  <si>
    <t>CL 142 11 50 EDIF BOTANIKA AQUA</t>
  </si>
  <si>
    <t>CL 17 SUR  5  66 APT 4 1013</t>
  </si>
  <si>
    <t>CR 46 C 80 SUR 155 APT 2021</t>
  </si>
  <si>
    <t>CL 3A S 81A 4  APTO 1806</t>
  </si>
  <si>
    <t>CL 2 B 81 A 460 APT 714</t>
  </si>
  <si>
    <t>CL 36 63 56 CASA 45</t>
  </si>
  <si>
    <t>CL 17 40B 185 T1 APT 2201</t>
  </si>
  <si>
    <t>OIKOS SAVANNA MONTERREY CASA 72 B VR CALAHORRA</t>
  </si>
  <si>
    <t>CL 77 SUR  35 A 105 URBANIZACION M A D E R O S D E L C A M P O 1</t>
  </si>
  <si>
    <t>CRA 34  27 A 12 SUR</t>
  </si>
  <si>
    <t>CL 24 SUR 38 44 APT 1705</t>
  </si>
  <si>
    <t>CR 33 27 A  91 APT 2208</t>
  </si>
  <si>
    <t>CL 145 15 80 APT 802</t>
  </si>
  <si>
    <t>Aporte AFC Bancolombia - AFC FNA</t>
  </si>
  <si>
    <t>CR 19  33 47</t>
  </si>
  <si>
    <t>C44B 70 83</t>
  </si>
  <si>
    <t>CR 43B 1 SUR 70</t>
  </si>
  <si>
    <t>CL 2 6 371 AP 506 TO B CJ RESIDENCIAL BOREAL</t>
  </si>
  <si>
    <t>CR 10 54A31 EDIF OPEN 10K</t>
  </si>
  <si>
    <t>CR 71 C 75 A - 10</t>
  </si>
  <si>
    <t>Santiago.Cardona@rockwellautomation.com</t>
  </si>
  <si>
    <t xml:space="preserve">51176933147              </t>
  </si>
  <si>
    <t>MariaAlejandra.Uribe@rockwellautomation.com</t>
  </si>
  <si>
    <t xml:space="preserve">71651571424              </t>
  </si>
  <si>
    <t>JuanJose.Sierra@rockwellautomation.com</t>
  </si>
  <si>
    <t xml:space="preserve">91260376719              </t>
  </si>
  <si>
    <t xml:space="preserve">COMFANDI </t>
  </si>
  <si>
    <t>CRA 19A 118 85</t>
  </si>
  <si>
    <t>CL 46 NORTE 14 10 TO A AP 802</t>
  </si>
  <si>
    <t>CR 17 B 175 77</t>
  </si>
  <si>
    <t>1020724383</t>
  </si>
  <si>
    <t>CL 182 10A 26</t>
  </si>
  <si>
    <t>JulioCesar.Agudelo@rockwellautomation.com</t>
  </si>
  <si>
    <t>1003049354</t>
  </si>
  <si>
    <t>CR 4 24 37 TO A AP 1804</t>
  </si>
  <si>
    <t>BorisAndres.Doval@rockwellautomation.com</t>
  </si>
  <si>
    <t xml:space="preserve">622012699                </t>
  </si>
  <si>
    <t>1077085651</t>
  </si>
  <si>
    <t>CR 6A 14 44</t>
  </si>
  <si>
    <t>HectorOswaldo.Carreno@rockwellautomation.com</t>
  </si>
  <si>
    <t xml:space="preserve">632269429                </t>
  </si>
  <si>
    <t>ingreso</t>
  </si>
  <si>
    <t>fs empleador</t>
  </si>
  <si>
    <t>Suma de NETO PAGADO</t>
  </si>
  <si>
    <t>RELACIONAR TOPES QUE SE TUVIERON EN CUENTA DE ENERO AL MES ANTERIOR DE FECHA DE APLICACIÓN DEL VALIDADOR (INCLUYENDO PRIMA)</t>
  </si>
  <si>
    <t>MES</t>
  </si>
  <si>
    <t>TOPE 25%</t>
  </si>
  <si>
    <t>TOPE 40%</t>
  </si>
  <si>
    <t xml:space="preserve"> GROSS UP</t>
  </si>
  <si>
    <t>KM 2 VIA CAJICA  HACIENDA FONTANAR CASA 2</t>
  </si>
  <si>
    <t>CR 20 185 58 T 2 APT 906</t>
  </si>
  <si>
    <t>Ap pension vol skandia - Ap pension vol colfondos - APV Vol Skandia Patrimonio</t>
  </si>
  <si>
    <t>1233696420</t>
  </si>
  <si>
    <t>REYES VARGAS BRENDA CATHERINE</t>
  </si>
  <si>
    <t>Cra 54 137a  21 I 86</t>
  </si>
  <si>
    <t>BrendaCatherine.ReyesVargas@rockwellautomation.com</t>
  </si>
  <si>
    <t xml:space="preserve">488441216246             </t>
  </si>
  <si>
    <t>1193148475</t>
  </si>
  <si>
    <t>TORRES CASTELLANOS DAVID</t>
  </si>
  <si>
    <t>CL 166 8H 20 I 7 AP 502</t>
  </si>
  <si>
    <t>DavidArturo.TorresCastellanos@rockwellautomation.com</t>
  </si>
  <si>
    <t>REMOTE SUPPORT ASSOCIATE</t>
  </si>
  <si>
    <t xml:space="preserve">7302093701               </t>
  </si>
  <si>
    <t xml:space="preserve">BANCO SANTANDER COLOMBIA S.A. </t>
  </si>
  <si>
    <t xml:space="preserve">17939201                 </t>
  </si>
  <si>
    <t>CR 30 50 09 T 9 AP 203</t>
  </si>
  <si>
    <t>ANAS WAYUU EPSI</t>
  </si>
  <si>
    <t>C 78 B 120 89 AP 1303</t>
  </si>
  <si>
    <t>MALLAMAS EPS</t>
  </si>
  <si>
    <t xml:space="preserve">136622991                </t>
  </si>
  <si>
    <t>CL 3 A SUR 75 DA 30</t>
  </si>
  <si>
    <t>SOFTWARE ANALYST</t>
  </si>
  <si>
    <t>CR 35 38 A SUR 30</t>
  </si>
  <si>
    <t>1033732674</t>
  </si>
  <si>
    <t>MURILLO ARANGO JUAN DAVID</t>
  </si>
  <si>
    <t>CR 69B 24 10</t>
  </si>
  <si>
    <t>JUANDAVID.MURILLO@rockwellautomation.com</t>
  </si>
  <si>
    <t xml:space="preserve">0036000175               </t>
  </si>
  <si>
    <t>1037628985</t>
  </si>
  <si>
    <t>MENA MORENO SANDRA CATALINA</t>
  </si>
  <si>
    <t>CL 54  86A  35</t>
  </si>
  <si>
    <t>SANDRACATALINA.MENA@rockwellautomation.com</t>
  </si>
  <si>
    <t>200611</t>
  </si>
  <si>
    <t>Skandia Patrimonio</t>
  </si>
  <si>
    <t>el factor prestacional en integral se dejara sobre el 100% de los ingresos del mes anterior no sobre el ibc 70% por archivo plano</t>
  </si>
  <si>
    <t xml:space="preserve">DOVAL               </t>
  </si>
  <si>
    <t xml:space="preserve">BORIS               </t>
  </si>
  <si>
    <t xml:space="preserve">AGUDELO             </t>
  </si>
  <si>
    <t xml:space="preserve">TRILLERAS                     </t>
  </si>
  <si>
    <t xml:space="preserve">CARREÑO             </t>
  </si>
  <si>
    <t xml:space="preserve">GALVIS                        </t>
  </si>
  <si>
    <t xml:space="preserve">OSWALDO                       </t>
  </si>
  <si>
    <t>PRENOMINA</t>
  </si>
  <si>
    <t>por aquí valido que bases esta tomando</t>
  </si>
  <si>
    <t>ss proyec</t>
  </si>
  <si>
    <t>base</t>
  </si>
  <si>
    <t>DIGITAL SOLUTIONS AND OEM PROGRAM MANAGER</t>
  </si>
  <si>
    <t>PA COE TEAM LEAD</t>
  </si>
  <si>
    <t xml:space="preserve">MENA                </t>
  </si>
  <si>
    <t xml:space="preserve">MORENO                        </t>
  </si>
  <si>
    <t xml:space="preserve">CATALINA                      </t>
  </si>
  <si>
    <t xml:space="preserve">REYES               </t>
  </si>
  <si>
    <t xml:space="preserve">BRENDA              </t>
  </si>
  <si>
    <t xml:space="preserve">CATHERINE                     </t>
  </si>
  <si>
    <t>2000025922</t>
  </si>
  <si>
    <t>ADVANCED SOFTWARE SPECIALIST</t>
  </si>
  <si>
    <t xml:space="preserve">MOSQUERA                      </t>
  </si>
  <si>
    <t>CL 159 56 75 I 2 AP 404</t>
  </si>
  <si>
    <t>TUA DIAZ ESPERANZA DE JESUS</t>
  </si>
  <si>
    <t>1000180327</t>
  </si>
  <si>
    <t>PAEZ GUZMAN GUSTAVO ANDRES</t>
  </si>
  <si>
    <t>CR  3 186 B15</t>
  </si>
  <si>
    <t>GustavoAndres.Paez@rockwellautomation.com</t>
  </si>
  <si>
    <t xml:space="preserve">53055467                 </t>
  </si>
  <si>
    <t xml:space="preserve">MANIZALES                     </t>
  </si>
  <si>
    <t>CR 22 A 75 A 18</t>
  </si>
  <si>
    <t>MARTINEZ GOMEZ JUAN EMMANUEL</t>
  </si>
  <si>
    <t>CR 53A 45 84 T3 AP 521</t>
  </si>
  <si>
    <t>SENIOR NETWORK &amp; SECURITY</t>
  </si>
  <si>
    <t>CL 15 79 120 T DE AVIÑON AP 1003</t>
  </si>
  <si>
    <t>1125229040</t>
  </si>
  <si>
    <t>MARTINEZ HERRERA JUAN CAMILO</t>
  </si>
  <si>
    <t>JuanCamilo.Martinez@rockwellautomation.com</t>
  </si>
  <si>
    <t>COMPENSATION SPECIALIST</t>
  </si>
  <si>
    <t>104059 - 104059</t>
  </si>
  <si>
    <t>1010121854</t>
  </si>
  <si>
    <t>RODRÍGUEZ CORREDOR JORGE ALBERTO</t>
  </si>
  <si>
    <t xml:space="preserve">TUNJA                         </t>
  </si>
  <si>
    <t>CR 4b 42 55</t>
  </si>
  <si>
    <t>jorge.rodriguez@rockwellautomation.com</t>
  </si>
  <si>
    <t xml:space="preserve">77356329                 </t>
  </si>
  <si>
    <t>80865281</t>
  </si>
  <si>
    <t>TIBOCHA  WILMAR DAZA</t>
  </si>
  <si>
    <t>Wilmar.Daza@rockwellautomation.com</t>
  </si>
  <si>
    <t xml:space="preserve">66244068066              </t>
  </si>
  <si>
    <t>1000501725</t>
  </si>
  <si>
    <t>AVILA REY NICOLÁS DAVID</t>
  </si>
  <si>
    <t>PROJECT ANALYST,REVENUE AND BRAND PROTECTION</t>
  </si>
  <si>
    <t>Integral</t>
  </si>
  <si>
    <t>Descuento Tarjeta Alim</t>
  </si>
  <si>
    <t>200011</t>
  </si>
  <si>
    <t>111130</t>
  </si>
  <si>
    <t>Ajuste Vacaciones no tomadas</t>
  </si>
  <si>
    <t>201130</t>
  </si>
  <si>
    <t xml:space="preserve">GUZMAN                        </t>
  </si>
  <si>
    <t xml:space="preserve">CORREDOR                      </t>
  </si>
  <si>
    <t xml:space="preserve">DAZA                </t>
  </si>
  <si>
    <t xml:space="preserve">TIBOCHA                       </t>
  </si>
  <si>
    <t xml:space="preserve">WILMAR              </t>
  </si>
  <si>
    <t>CL 159  54  81 TO 2 AP 1003</t>
  </si>
  <si>
    <t>AFVALDERRAMA@ROCKWELLAUTOMATION.COM</t>
  </si>
  <si>
    <t xml:space="preserve">CARTAGENA                     </t>
  </si>
  <si>
    <t>CR 7A  128 CA 15</t>
  </si>
  <si>
    <t>CR 15 9 A 31 AP 1101</t>
  </si>
  <si>
    <t>CL 145 A  15  69</t>
  </si>
  <si>
    <t>CL 136 74   65</t>
  </si>
  <si>
    <t>LOTE SAN MIGUEL</t>
  </si>
  <si>
    <t>CL 9 44 56 901B</t>
  </si>
  <si>
    <t>CR 9A  134 A  21</t>
  </si>
  <si>
    <t>laular@rockwellautomation.com</t>
  </si>
  <si>
    <t>CONTRACT ADMINISTRATOR</t>
  </si>
  <si>
    <t>CRA 111A NO 148   75 TR 3 APTO 504</t>
  </si>
  <si>
    <t>CR 13 B  161  50 TO 1 AP 702</t>
  </si>
  <si>
    <t>CR 73 152B 65</t>
  </si>
  <si>
    <t>CR 9  168  71</t>
  </si>
  <si>
    <t>INSIDE SALES REPRESENTATIVE</t>
  </si>
  <si>
    <t>SR. HR BUSINESS PARTNER - GSM GLOBAL FUNCTIONS</t>
  </si>
  <si>
    <t>1036948799</t>
  </si>
  <si>
    <t>EUSSE ECHEVERRI SEBASTIAN</t>
  </si>
  <si>
    <t xml:space="preserve">RIONEGRO                      </t>
  </si>
  <si>
    <t>CR 61 f  41 b 05</t>
  </si>
  <si>
    <t>SEBASTIAN.EUSSE@ROCKWELLAUTOMATION.COM</t>
  </si>
  <si>
    <t xml:space="preserve">28491904226              </t>
  </si>
  <si>
    <t>CR 50 D  77 S  81 CA 10</t>
  </si>
  <si>
    <t xml:space="preserve">MARINILLA                     </t>
  </si>
  <si>
    <t>CR 62 A  74 S U R  164 AP 1505</t>
  </si>
  <si>
    <t>CR 41  57 SUR 53</t>
  </si>
  <si>
    <t>CL 151  8  84 I 40</t>
  </si>
  <si>
    <t>TEAM LEAD, TERRITORY</t>
  </si>
  <si>
    <t>CL 33  44  15 AP 202</t>
  </si>
  <si>
    <t xml:space="preserve">291431877983             </t>
  </si>
  <si>
    <t>CR 69  14 46 MZ 8 CA 21</t>
  </si>
  <si>
    <t>1024492090</t>
  </si>
  <si>
    <t>IZQUIERDO MORENO CRISTIAN ALFONSO</t>
  </si>
  <si>
    <t>CL 140 19 29</t>
  </si>
  <si>
    <t>Cristian.Izquierdo@sensiaglobal.com</t>
  </si>
  <si>
    <t>INSIDE SALES SPECIALIST</t>
  </si>
  <si>
    <t xml:space="preserve">462300077551             </t>
  </si>
  <si>
    <t>CR 50 150 A 85 AP 202 I 4</t>
  </si>
  <si>
    <t>CL 36D SUR  27D 39</t>
  </si>
  <si>
    <t xml:space="preserve">FLORIDABLANCA                 </t>
  </si>
  <si>
    <t>COND CAMPESTOE VILLAS DE SANTA MARIA CA 26</t>
  </si>
  <si>
    <t>CL 24F  85B 85</t>
  </si>
  <si>
    <t>1140880066</t>
  </si>
  <si>
    <t>SOLANO CARRILLO JESUS</t>
  </si>
  <si>
    <t>Jesus.Solano@rockwellautomation.com</t>
  </si>
  <si>
    <t xml:space="preserve">55478555449              </t>
  </si>
  <si>
    <t>CL 83 58 19 AP 2104</t>
  </si>
  <si>
    <t>CR 1A  3C  32</t>
  </si>
  <si>
    <t>ROKFUSION SUPPORT OPS LEAD</t>
  </si>
  <si>
    <t>CR 73H  62G 52 SUR</t>
  </si>
  <si>
    <t xml:space="preserve">BUCARAMANGA                   </t>
  </si>
  <si>
    <t>CL 147 14 69 AP 202 T 7</t>
  </si>
  <si>
    <t>CR 3 60 80</t>
  </si>
  <si>
    <t>CR 24 2 A  13</t>
  </si>
  <si>
    <t>CL 39 52 40  AP 0219 CUIDAD FABRICATO</t>
  </si>
  <si>
    <t>CR 75 C 62 D 37 SUR</t>
  </si>
  <si>
    <t>LOPEZ ELEJALDE LADY JOHANNA</t>
  </si>
  <si>
    <t>CR 56 145 51 T5 AP 1004</t>
  </si>
  <si>
    <t>S&amp;S SUPPLY CHAIN PROJECT MANAGER</t>
  </si>
  <si>
    <t>CL 147 7G 20 I 3 AP 301</t>
  </si>
  <si>
    <t>CR 7 C 127 A 59 AP 201</t>
  </si>
  <si>
    <t xml:space="preserve">IBAGUE                        </t>
  </si>
  <si>
    <t>CL 93 20 40 SUR I 1 AP 1508</t>
  </si>
  <si>
    <t>CL 7B 19A 15</t>
  </si>
  <si>
    <t xml:space="preserve">CAJICA                        </t>
  </si>
  <si>
    <t>ACCOUNT DEVELOPMENT MANAGER</t>
  </si>
  <si>
    <t xml:space="preserve">35014724                 </t>
  </si>
  <si>
    <t>S&amp;S SOURCING SPECIALIST</t>
  </si>
  <si>
    <t xml:space="preserve">157911140                </t>
  </si>
  <si>
    <t>1000566479</t>
  </si>
  <si>
    <t>DavidEsteban.Toro@rockwellautomation.com</t>
  </si>
  <si>
    <t xml:space="preserve">31107801980              </t>
  </si>
  <si>
    <t>UX DESIGNER</t>
  </si>
  <si>
    <t>CR 54A 149 29</t>
  </si>
  <si>
    <t xml:space="preserve">508991213188             </t>
  </si>
  <si>
    <t>CRA 62#64-75</t>
  </si>
  <si>
    <t>DanielCamilo.Pena@rockwellautomation.com</t>
  </si>
  <si>
    <t xml:space="preserve">181704238                </t>
  </si>
  <si>
    <t xml:space="preserve">NEIVA                         </t>
  </si>
  <si>
    <t xml:space="preserve">181435680                </t>
  </si>
  <si>
    <t>CL 24 39 91</t>
  </si>
  <si>
    <t>TRAINING LEAD</t>
  </si>
  <si>
    <t>DAZA TIBOCHA WILMAR</t>
  </si>
  <si>
    <t>CR 53 F 3 A 25</t>
  </si>
  <si>
    <t>80206815</t>
  </si>
  <si>
    <t>BOHORQUEZ MENDEZ GABRIEL ERNESTO</t>
  </si>
  <si>
    <t>GabrielErnesto.Bohorquez@sensiaglobal.com</t>
  </si>
  <si>
    <t>SOLUTIONS CONSULTANT</t>
  </si>
  <si>
    <t xml:space="preserve">04028977595              </t>
  </si>
  <si>
    <t>ANGULO MARTINEZ MARIO GERMAN</t>
  </si>
  <si>
    <t>PROJECT MANAGER/SCRUM MASTER - OBSERVABILITY &amp; SERVICE MANAGEMENT PLATFORMS</t>
  </si>
  <si>
    <t>98711185</t>
  </si>
  <si>
    <t>CARO BEDOYA WALTER DAVIDSON</t>
  </si>
  <si>
    <t>CR 81B  7 A 49</t>
  </si>
  <si>
    <t>WalterDavidson.Caro@rockwellautomation.com</t>
  </si>
  <si>
    <t>SOFTWARE TECHNICAL LEAD</t>
  </si>
  <si>
    <t xml:space="preserve">31151381505              </t>
  </si>
  <si>
    <t>SALESFORCE ENGINEER</t>
  </si>
  <si>
    <t>104059</t>
  </si>
  <si>
    <t>Normal</t>
  </si>
  <si>
    <t>bravo</t>
  </si>
  <si>
    <t>renta excenta</t>
  </si>
  <si>
    <t>ingreso gravado mes</t>
  </si>
  <si>
    <t>tope deduccion</t>
  </si>
  <si>
    <t>% uvt</t>
  </si>
  <si>
    <t>gross up</t>
  </si>
  <si>
    <t>RETENCION CON BRAVO Y GROSS UP</t>
  </si>
  <si>
    <t>RETENCION SIN BRAVO NI GROSS UP</t>
  </si>
  <si>
    <t>DIFERENCIA RETENCION</t>
  </si>
  <si>
    <t>RESTA GROSS UP- DIFERENCIA RETE</t>
  </si>
  <si>
    <t xml:space="preserve">TORO                </t>
  </si>
  <si>
    <t>BELLO</t>
  </si>
  <si>
    <t xml:space="preserve">PABON                         </t>
  </si>
  <si>
    <t>BUENAVENTURA</t>
  </si>
  <si>
    <t>SANTAFE DE ANTIOQUIA</t>
  </si>
  <si>
    <t xml:space="preserve">IZQUIERDO           </t>
  </si>
  <si>
    <t xml:space="preserve">EUSSE               </t>
  </si>
  <si>
    <t xml:space="preserve">SEBASTIAN           </t>
  </si>
  <si>
    <t>RIONEGRO</t>
  </si>
  <si>
    <t>LA_GUAJIRA</t>
  </si>
  <si>
    <t>RIOHACHA</t>
  </si>
  <si>
    <t xml:space="preserve">CCF30 </t>
  </si>
  <si>
    <t xml:space="preserve">SOLANO              </t>
  </si>
  <si>
    <t xml:space="preserve">CARRILLO                      </t>
  </si>
  <si>
    <t xml:space="preserve">ABEL                          </t>
  </si>
  <si>
    <t>VILLAMARIA</t>
  </si>
  <si>
    <t>MAGDALENA</t>
  </si>
  <si>
    <t>SANTA MARTA</t>
  </si>
  <si>
    <t xml:space="preserve">CCF33 </t>
  </si>
  <si>
    <t xml:space="preserve">BOHORQUEZ           </t>
  </si>
  <si>
    <t xml:space="preserve">MENDEZ                        </t>
  </si>
  <si>
    <t xml:space="preserve">CARO                </t>
  </si>
  <si>
    <t xml:space="preserve">BEDOYA                        </t>
  </si>
  <si>
    <t xml:space="preserve">WALTER              </t>
  </si>
  <si>
    <t xml:space="preserve">DAVIDSON                      </t>
  </si>
  <si>
    <t xml:space="preserve">BUENAVENTURA                  </t>
  </si>
  <si>
    <t>CCF DE CALDAS</t>
  </si>
  <si>
    <t xml:space="preserve">SANTA MARTA                   </t>
  </si>
  <si>
    <t>CCF DEL MAGDALENA</t>
  </si>
  <si>
    <t xml:space="preserve">RIOHACHA                      </t>
  </si>
  <si>
    <t xml:space="preserve">ARMENIA                       </t>
  </si>
  <si>
    <t>1015443315</t>
  </si>
  <si>
    <t>1036641795</t>
  </si>
  <si>
    <t>1061730365</t>
  </si>
  <si>
    <t>1000617060</t>
  </si>
  <si>
    <t>1193373921</t>
  </si>
  <si>
    <t>16944092</t>
  </si>
  <si>
    <t>OCAMPO JARAMILLO OSCAR DANIEL</t>
  </si>
  <si>
    <t>DURANGO CIFUENTES MAYRA</t>
  </si>
  <si>
    <t>DUQUE ARCILA SOFÍA</t>
  </si>
  <si>
    <t>NUÑEZ  CRISTHIAN ALBERTO</t>
  </si>
  <si>
    <t>FORERO LOPEZ SANDRA MARYORI</t>
  </si>
  <si>
    <t>ORDOÑEZ QUINTANA NICOLAS</t>
  </si>
  <si>
    <t>CARVAJAL USECHE JUAN NICOLÁS</t>
  </si>
  <si>
    <t>RODRÍGUEZ BUSTOS ANDRES EDUARDO</t>
  </si>
  <si>
    <t>BASE GRAVABLE PRIMA</t>
  </si>
  <si>
    <t>25% RENTA EXENTA PRIMA</t>
  </si>
  <si>
    <t>VR PRIMA</t>
  </si>
  <si>
    <t>BASE EN UVT</t>
  </si>
  <si>
    <t>RETENCION PRIMA</t>
  </si>
  <si>
    <t>stock</t>
  </si>
  <si>
    <t>&gt;3 dias</t>
  </si>
  <si>
    <t>&lt; 3 dias</t>
  </si>
  <si>
    <t>2244768</t>
  </si>
  <si>
    <t xml:space="preserve">Dependiente                                                                                                                       </t>
  </si>
  <si>
    <t>2586286</t>
  </si>
  <si>
    <t>PARTNER MANAGER, EPC</t>
  </si>
  <si>
    <t>2582916</t>
  </si>
  <si>
    <t>eagarcia1@rockwellautomation.com</t>
  </si>
  <si>
    <t>BUSINESS MANAGER, PROFESSIONAL SERVICES (CYBER, DIGITAL, MOM), LATIN AMERICA</t>
  </si>
  <si>
    <t>SALES ACCT SPEC/OVERLAY (TTC) MGMT</t>
  </si>
  <si>
    <t>3727716</t>
  </si>
  <si>
    <t>BUSINESS SEGMENT MANAGER LCS</t>
  </si>
  <si>
    <t>7218036</t>
  </si>
  <si>
    <t>8699878</t>
  </si>
  <si>
    <t>3674871</t>
  </si>
  <si>
    <t>LEAN PROJECT MANAGER FOR LIFECYCLE SERVICES LATAM</t>
  </si>
  <si>
    <t>104011 - 104011</t>
  </si>
  <si>
    <t>6420263</t>
  </si>
  <si>
    <t>5763326</t>
  </si>
  <si>
    <t>2392952</t>
  </si>
  <si>
    <t>8312616</t>
  </si>
  <si>
    <t>3119594</t>
  </si>
  <si>
    <t>4184316</t>
  </si>
  <si>
    <t>6445989</t>
  </si>
  <si>
    <t>4402736</t>
  </si>
  <si>
    <t>8655656</t>
  </si>
  <si>
    <t>6491152</t>
  </si>
  <si>
    <t>2201093</t>
  </si>
  <si>
    <t>7875038</t>
  </si>
  <si>
    <t xml:space="preserve">BANCO JP MORGAN               </t>
  </si>
  <si>
    <t>3025432</t>
  </si>
  <si>
    <t>PORTFOLIO EXPERT LCS</t>
  </si>
  <si>
    <t>2536121</t>
  </si>
  <si>
    <t>S&amp;S SUPPLIER RELATIONSHIP SPECIALIST</t>
  </si>
  <si>
    <t>7980124</t>
  </si>
  <si>
    <t>GCavied@rockwellautomation.com</t>
  </si>
  <si>
    <t>104060 - 104060</t>
  </si>
  <si>
    <t>2903128</t>
  </si>
  <si>
    <t>4008538</t>
  </si>
  <si>
    <t>3055486</t>
  </si>
  <si>
    <t>5723606</t>
  </si>
  <si>
    <t>2835502</t>
  </si>
  <si>
    <t>INSIDE SALES (TTC)</t>
  </si>
  <si>
    <t>3632136</t>
  </si>
  <si>
    <t>7105277</t>
  </si>
  <si>
    <t>yarias@rockwellautomation.com</t>
  </si>
  <si>
    <t>7397241</t>
  </si>
  <si>
    <t>2961415</t>
  </si>
  <si>
    <t>7607019</t>
  </si>
  <si>
    <t>4768409</t>
  </si>
  <si>
    <t>3309830</t>
  </si>
  <si>
    <t>4932805</t>
  </si>
  <si>
    <t>3521041</t>
  </si>
  <si>
    <t>3230483</t>
  </si>
  <si>
    <t>3504354</t>
  </si>
  <si>
    <t>7947936</t>
  </si>
  <si>
    <t>7852576</t>
  </si>
  <si>
    <t>5372114</t>
  </si>
  <si>
    <t>314 7402630</t>
  </si>
  <si>
    <t>7849693</t>
  </si>
  <si>
    <t>311 3573091</t>
  </si>
  <si>
    <t>7419257</t>
  </si>
  <si>
    <t>3045338214</t>
  </si>
  <si>
    <t>4032955</t>
  </si>
  <si>
    <t>SPS REGIONAL MANAGER - ANDEAN</t>
  </si>
  <si>
    <t>3192903337</t>
  </si>
  <si>
    <t>3335785</t>
  </si>
  <si>
    <t>3004362198</t>
  </si>
  <si>
    <t>4736663</t>
  </si>
  <si>
    <t>5401241</t>
  </si>
  <si>
    <t>Nicolas.Caceres@rockwellautomation.com</t>
  </si>
  <si>
    <t>315 487 7787</t>
  </si>
  <si>
    <t>2301707</t>
  </si>
  <si>
    <t>310 4404 067</t>
  </si>
  <si>
    <t>3008158651</t>
  </si>
  <si>
    <t>4468677</t>
  </si>
  <si>
    <t>322 2750168</t>
  </si>
  <si>
    <t>3156935042</t>
  </si>
  <si>
    <t>9749927</t>
  </si>
  <si>
    <t>9164708</t>
  </si>
  <si>
    <t>2723025</t>
  </si>
  <si>
    <t>2509546</t>
  </si>
  <si>
    <t>3398271</t>
  </si>
  <si>
    <t>4651089</t>
  </si>
  <si>
    <t>CR 19  30 N  14</t>
  </si>
  <si>
    <t>Oscar.OcampoJaramillo@rockwellautomation.com</t>
  </si>
  <si>
    <t xml:space="preserve">720129271                </t>
  </si>
  <si>
    <t xml:space="preserve">LA ESTRELLA                   </t>
  </si>
  <si>
    <t>CR 60 75AA sur 75</t>
  </si>
  <si>
    <t>Mayra.Durango@rockwellautomation.com</t>
  </si>
  <si>
    <t xml:space="preserve">24136719641              </t>
  </si>
  <si>
    <t>2178041</t>
  </si>
  <si>
    <t>6368431</t>
  </si>
  <si>
    <t>8227622</t>
  </si>
  <si>
    <t xml:space="preserve">096070042                </t>
  </si>
  <si>
    <t>CR 11 ESTE 36 G - 80 S T 5 AP 403</t>
  </si>
  <si>
    <t>4812495</t>
  </si>
  <si>
    <t>5790600</t>
  </si>
  <si>
    <t>3914527</t>
  </si>
  <si>
    <t>3805175</t>
  </si>
  <si>
    <t>7317574</t>
  </si>
  <si>
    <t>Aporte AFC Davivienda - Aporte AFC Bancolombia</t>
  </si>
  <si>
    <t>8552849</t>
  </si>
  <si>
    <t>DEV OPS ENGINEER</t>
  </si>
  <si>
    <t>57 3005158760</t>
  </si>
  <si>
    <t>5293496</t>
  </si>
  <si>
    <t>2206764</t>
  </si>
  <si>
    <t>2743104</t>
  </si>
  <si>
    <t>6841810</t>
  </si>
  <si>
    <t>7489591</t>
  </si>
  <si>
    <t>3821593</t>
  </si>
  <si>
    <t>PROPOSAL MANAGER-SOUTH AMERICA</t>
  </si>
  <si>
    <t>6647977</t>
  </si>
  <si>
    <t>4090298</t>
  </si>
  <si>
    <t>4451795</t>
  </si>
  <si>
    <t>8628810</t>
  </si>
  <si>
    <t>3711980</t>
  </si>
  <si>
    <t>573167435177</t>
  </si>
  <si>
    <t>7067875</t>
  </si>
  <si>
    <t>9179991</t>
  </si>
  <si>
    <t>7327372</t>
  </si>
  <si>
    <t>2080599</t>
  </si>
  <si>
    <t>3441682</t>
  </si>
  <si>
    <t>7272472</t>
  </si>
  <si>
    <t>5488308</t>
  </si>
  <si>
    <t>8157739</t>
  </si>
  <si>
    <t>7446865</t>
  </si>
  <si>
    <t>2057693</t>
  </si>
  <si>
    <t>3722232</t>
  </si>
  <si>
    <t>3421506</t>
  </si>
  <si>
    <t>4238440</t>
  </si>
  <si>
    <t>2487450</t>
  </si>
  <si>
    <t>7764216</t>
  </si>
  <si>
    <t>2388070</t>
  </si>
  <si>
    <t>4158816</t>
  </si>
  <si>
    <t>7869797</t>
  </si>
  <si>
    <t>3167265</t>
  </si>
  <si>
    <t>6035458</t>
  </si>
  <si>
    <t>1639471</t>
  </si>
  <si>
    <t>3043853</t>
  </si>
  <si>
    <t>4140467</t>
  </si>
  <si>
    <t>7542628</t>
  </si>
  <si>
    <t>320 818 7528</t>
  </si>
  <si>
    <t>6732403</t>
  </si>
  <si>
    <t>310 700 2646</t>
  </si>
  <si>
    <t>2956205</t>
  </si>
  <si>
    <t>104063 - 104063</t>
  </si>
  <si>
    <t>301-548-0895</t>
  </si>
  <si>
    <t>4689801</t>
  </si>
  <si>
    <t>4386229</t>
  </si>
  <si>
    <t>2216227</t>
  </si>
  <si>
    <t>9729031</t>
  </si>
  <si>
    <t>3873415</t>
  </si>
  <si>
    <t>5708442</t>
  </si>
  <si>
    <t>7177420</t>
  </si>
  <si>
    <t>6591902</t>
  </si>
  <si>
    <t>6013907</t>
  </si>
  <si>
    <t>5210808</t>
  </si>
  <si>
    <t>2344022</t>
  </si>
  <si>
    <t>3469087</t>
  </si>
  <si>
    <t>5771346</t>
  </si>
  <si>
    <t>2045800</t>
  </si>
  <si>
    <t>4060908</t>
  </si>
  <si>
    <t>318 757 3394</t>
  </si>
  <si>
    <t>2624599</t>
  </si>
  <si>
    <t>7665499</t>
  </si>
  <si>
    <t>3255659</t>
  </si>
  <si>
    <t>7364735</t>
  </si>
  <si>
    <t>4470878</t>
  </si>
  <si>
    <t>5858410</t>
  </si>
  <si>
    <t>300 806 5207</t>
  </si>
  <si>
    <t>310 201 8407</t>
  </si>
  <si>
    <t>2409926</t>
  </si>
  <si>
    <t>LLopez24@ra.rockwell.com</t>
  </si>
  <si>
    <t xml:space="preserve">912252360771             </t>
  </si>
  <si>
    <t>316 525 3414</t>
  </si>
  <si>
    <t>3970213</t>
  </si>
  <si>
    <t>2500841</t>
  </si>
  <si>
    <t xml:space="preserve">LA CEJA                       </t>
  </si>
  <si>
    <t>CR 7 17 76 C13</t>
  </si>
  <si>
    <t>3694123</t>
  </si>
  <si>
    <t>324 665 9797</t>
  </si>
  <si>
    <t>321 577 5592</t>
  </si>
  <si>
    <t>300 781 8499</t>
  </si>
  <si>
    <t>321 635 9193</t>
  </si>
  <si>
    <t>5027718</t>
  </si>
  <si>
    <t>5752118</t>
  </si>
  <si>
    <t>6765142</t>
  </si>
  <si>
    <t>319 611 0078</t>
  </si>
  <si>
    <t>311 793 0611</t>
  </si>
  <si>
    <t>2108110</t>
  </si>
  <si>
    <t>ACCOUNT DEVELOPMENT MANAGER, END USER</t>
  </si>
  <si>
    <t>315 289 7820</t>
  </si>
  <si>
    <t>4824220</t>
  </si>
  <si>
    <t>316 523 4247</t>
  </si>
  <si>
    <t>3650158</t>
  </si>
  <si>
    <t>CL 69 9A 85</t>
  </si>
  <si>
    <t>7034068</t>
  </si>
  <si>
    <t>3996853</t>
  </si>
  <si>
    <t>317 724 3058</t>
  </si>
  <si>
    <t>320 260 8205</t>
  </si>
  <si>
    <t>305 304 4173</t>
  </si>
  <si>
    <t>3414821</t>
  </si>
  <si>
    <t>312 793 8503</t>
  </si>
  <si>
    <t>3038670</t>
  </si>
  <si>
    <t>350 593 1974</t>
  </si>
  <si>
    <t>7849962</t>
  </si>
  <si>
    <t>3971781</t>
  </si>
  <si>
    <t>320 749 3606</t>
  </si>
  <si>
    <t>323 327 1450</t>
  </si>
  <si>
    <t>305 3229982</t>
  </si>
  <si>
    <t>4725638</t>
  </si>
  <si>
    <t>3312214</t>
  </si>
  <si>
    <t>4510037</t>
  </si>
  <si>
    <t>2658919</t>
  </si>
  <si>
    <t>3681821</t>
  </si>
  <si>
    <t>6755660</t>
  </si>
  <si>
    <t>57 318 3938029</t>
  </si>
  <si>
    <t>5940308</t>
  </si>
  <si>
    <t>301 619 3904</t>
  </si>
  <si>
    <t>8819299</t>
  </si>
  <si>
    <t>4357434</t>
  </si>
  <si>
    <t>5427216</t>
  </si>
  <si>
    <t>+57 (301) 2659885</t>
  </si>
  <si>
    <t>5812268</t>
  </si>
  <si>
    <t>2680555</t>
  </si>
  <si>
    <t>2253549</t>
  </si>
  <si>
    <t>+57 (316) 2462752</t>
  </si>
  <si>
    <t>8505378</t>
  </si>
  <si>
    <t>4067579</t>
  </si>
  <si>
    <t>4409184</t>
  </si>
  <si>
    <t>4582055</t>
  </si>
  <si>
    <t>3897632</t>
  </si>
  <si>
    <t>8799279</t>
  </si>
  <si>
    <t>9050504</t>
  </si>
  <si>
    <t>7633981</t>
  </si>
  <si>
    <t>5686667</t>
  </si>
  <si>
    <t>3023184949</t>
  </si>
  <si>
    <t>4722699</t>
  </si>
  <si>
    <t>5893946</t>
  </si>
  <si>
    <t>6681004</t>
  </si>
  <si>
    <t>8738427</t>
  </si>
  <si>
    <t>4144373</t>
  </si>
  <si>
    <t>3502424756</t>
  </si>
  <si>
    <t>3102792667</t>
  </si>
  <si>
    <t>3003024522</t>
  </si>
  <si>
    <t>6425479</t>
  </si>
  <si>
    <t>3245504678</t>
  </si>
  <si>
    <t>3212219618</t>
  </si>
  <si>
    <t>7834355</t>
  </si>
  <si>
    <t>57 311 2132688</t>
  </si>
  <si>
    <t>8521221</t>
  </si>
  <si>
    <t>3016916</t>
  </si>
  <si>
    <t>3146768337</t>
  </si>
  <si>
    <t>3007923947</t>
  </si>
  <si>
    <t>5863245</t>
  </si>
  <si>
    <t>5062778</t>
  </si>
  <si>
    <t>3656357</t>
  </si>
  <si>
    <t>3041339715</t>
  </si>
  <si>
    <t xml:space="preserve">64578371                 </t>
  </si>
  <si>
    <t>3223722999</t>
  </si>
  <si>
    <t>8869579</t>
  </si>
  <si>
    <t>AlvaroAndres.Lobo@rockwellautomation.com</t>
  </si>
  <si>
    <t>3005568028</t>
  </si>
  <si>
    <t>2952691</t>
  </si>
  <si>
    <t>3238008046</t>
  </si>
  <si>
    <t>5055951</t>
  </si>
  <si>
    <t>304 6201579</t>
  </si>
  <si>
    <t>CL 47 58E 12</t>
  </si>
  <si>
    <t>7206299</t>
  </si>
  <si>
    <t>5179322</t>
  </si>
  <si>
    <t>7786958</t>
  </si>
  <si>
    <t>57 321 4527795</t>
  </si>
  <si>
    <t>57 313 6130814</t>
  </si>
  <si>
    <t>2325788</t>
  </si>
  <si>
    <t>57 300 3414666</t>
  </si>
  <si>
    <t>57 300 7944785</t>
  </si>
  <si>
    <t xml:space="preserve">CR 19 B 159 80 </t>
  </si>
  <si>
    <t>2622338</t>
  </si>
  <si>
    <t>+57 (323) 3804664</t>
  </si>
  <si>
    <t>+57 (314) 3579605</t>
  </si>
  <si>
    <t>5499390</t>
  </si>
  <si>
    <t>6245915</t>
  </si>
  <si>
    <t>+57 (313) 4833918</t>
  </si>
  <si>
    <t>8229596</t>
  </si>
  <si>
    <t>+57 (314) 3231470</t>
  </si>
  <si>
    <t>7395996</t>
  </si>
  <si>
    <t>5905008</t>
  </si>
  <si>
    <t xml:space="preserve">RAPPYPAY                      </t>
  </si>
  <si>
    <t>+57 (300) 4802278</t>
  </si>
  <si>
    <t>6160349</t>
  </si>
  <si>
    <t>5330724</t>
  </si>
  <si>
    <t>8905515</t>
  </si>
  <si>
    <t>6038768</t>
  </si>
  <si>
    <t>3591296</t>
  </si>
  <si>
    <t>5565931</t>
  </si>
  <si>
    <t>4103911</t>
  </si>
  <si>
    <t>7868011</t>
  </si>
  <si>
    <t>RonnyJavier.Carrasquel@rockwellautomation.com</t>
  </si>
  <si>
    <t>7603836</t>
  </si>
  <si>
    <t>3445553</t>
  </si>
  <si>
    <t>3737328</t>
  </si>
  <si>
    <t>2764178</t>
  </si>
  <si>
    <t xml:space="preserve">191130186                </t>
  </si>
  <si>
    <t>6848083</t>
  </si>
  <si>
    <t>4980404</t>
  </si>
  <si>
    <t>2876509</t>
  </si>
  <si>
    <t>3355492</t>
  </si>
  <si>
    <t>6879888</t>
  </si>
  <si>
    <t xml:space="preserve">089745293                </t>
  </si>
  <si>
    <t>4960879</t>
  </si>
  <si>
    <t>5475123</t>
  </si>
  <si>
    <t>2211949</t>
  </si>
  <si>
    <t>PROJECT MANAGER/SCRUM MASTER -  GLOBAL I&amp;O</t>
  </si>
  <si>
    <t>4782960</t>
  </si>
  <si>
    <t>CristhianAlberto.Nunez@rockwellautomation.com</t>
  </si>
  <si>
    <t xml:space="preserve">1008680368               </t>
  </si>
  <si>
    <t>CL 135 58b 21</t>
  </si>
  <si>
    <t>SandraMaryori.Forero@rockwellautomation.com</t>
  </si>
  <si>
    <t xml:space="preserve">64924472098              </t>
  </si>
  <si>
    <t>CR 54D  169 05</t>
  </si>
  <si>
    <t>JuanNicolas.Carvajal@rockwellautomation.com</t>
  </si>
  <si>
    <t>CL 44 7 47</t>
  </si>
  <si>
    <t>AndresEduardo.Rodriguez@rockwellautomation.com</t>
  </si>
  <si>
    <t xml:space="preserve">005042494                </t>
  </si>
  <si>
    <t>1152471218</t>
  </si>
  <si>
    <t>ALBAN NIETO BRYAN</t>
  </si>
  <si>
    <t>CL 51 82 190</t>
  </si>
  <si>
    <t>Bryan.Alban@rockwellautomation.com</t>
  </si>
  <si>
    <t>SRE-DEVOPS ENGINEER</t>
  </si>
  <si>
    <t xml:space="preserve">86821403776              </t>
  </si>
  <si>
    <t>1058546120</t>
  </si>
  <si>
    <t>VERA SARRIA NATALIA ALEJANDRA</t>
  </si>
  <si>
    <t>NataliaAlejandra.Vera@rockwellautomation.com</t>
  </si>
  <si>
    <t>1002537277</t>
  </si>
  <si>
    <t>CASTAÑEDA CRISTANCHO CHRISTIAN FELIPE</t>
  </si>
  <si>
    <t>CL 45f 16 13</t>
  </si>
  <si>
    <t>ChristianFelipe.Castaneda@rockwellautomation.com</t>
  </si>
  <si>
    <t xml:space="preserve">55557905                 </t>
  </si>
  <si>
    <t>ACCOUNT DEVELOPMENT, END USER</t>
  </si>
  <si>
    <t>003410</t>
  </si>
  <si>
    <t>Embargo</t>
  </si>
  <si>
    <t xml:space="preserve">Embargo                                           </t>
  </si>
  <si>
    <t xml:space="preserve">BUSTOS                        </t>
  </si>
  <si>
    <t xml:space="preserve">MARYORI                       </t>
  </si>
  <si>
    <t xml:space="preserve">DURANGO             </t>
  </si>
  <si>
    <t xml:space="preserve">MAYRA               </t>
  </si>
  <si>
    <t>LA ESTRELLA</t>
  </si>
  <si>
    <t xml:space="preserve">NUÑEZ               </t>
  </si>
  <si>
    <t xml:space="preserve">CARVAJAL            </t>
  </si>
  <si>
    <t xml:space="preserve">USECHE                        </t>
  </si>
  <si>
    <t>observacion</t>
  </si>
  <si>
    <t xml:space="preserve">BASE </t>
  </si>
  <si>
    <t>SMLV</t>
  </si>
  <si>
    <t>valor base</t>
  </si>
  <si>
    <t>valor sistema</t>
  </si>
  <si>
    <t>salario actual</t>
  </si>
  <si>
    <t>104070 - 104070</t>
  </si>
  <si>
    <t>104600 - 104600</t>
  </si>
  <si>
    <t>104071 - 104071</t>
  </si>
  <si>
    <t xml:space="preserve">FUNZA                         </t>
  </si>
  <si>
    <t>CL 15 29 49</t>
  </si>
  <si>
    <t xml:space="preserve">63127612                 </t>
  </si>
  <si>
    <t>31577235</t>
  </si>
  <si>
    <t>GOMEZ ZAPATEIRO LUISA FERNANDA</t>
  </si>
  <si>
    <t>lfgomez@rockwellautomation.com</t>
  </si>
  <si>
    <t xml:space="preserve">014857072                </t>
  </si>
  <si>
    <t>NUÑEZ CONCHA CRISTHIAN ALBERTO</t>
  </si>
  <si>
    <t>CL 53 98C 43 T A AP 301</t>
  </si>
  <si>
    <t xml:space="preserve">612021306                </t>
  </si>
  <si>
    <t>1000594405</t>
  </si>
  <si>
    <t>RINCON CAICEDO JOSÉ DANIEL</t>
  </si>
  <si>
    <t>CL 7</t>
  </si>
  <si>
    <t>JoseDaniel.Rincon@rockwellautomation.com</t>
  </si>
  <si>
    <t xml:space="preserve">712079944                </t>
  </si>
  <si>
    <t>10777994</t>
  </si>
  <si>
    <t>OSSÍO JIMÉNEZ GUSTAVO ADOLFO</t>
  </si>
  <si>
    <t>CR 83 A 48 BB 81</t>
  </si>
  <si>
    <t>GustavoAdolfo.Ossio@rockwellautomation.com</t>
  </si>
  <si>
    <t xml:space="preserve">182642062                </t>
  </si>
  <si>
    <t>104000</t>
  </si>
  <si>
    <t>104063</t>
  </si>
  <si>
    <t xml:space="preserve">Salud Empleado                                    </t>
  </si>
  <si>
    <t>Pension Empleado</t>
  </si>
  <si>
    <t>LA CEJA</t>
  </si>
  <si>
    <t xml:space="preserve">ALBAN               </t>
  </si>
  <si>
    <t xml:space="preserve">NIETO                         </t>
  </si>
  <si>
    <t xml:space="preserve">BRYAN               </t>
  </si>
  <si>
    <t xml:space="preserve">NICOLAS                       </t>
  </si>
  <si>
    <t xml:space="preserve">SARRIA                        </t>
  </si>
  <si>
    <t xml:space="preserve">NATALIA             </t>
  </si>
  <si>
    <t xml:space="preserve">CRISTANCHO                    </t>
  </si>
  <si>
    <t>CL 9A 73 95 T 4 AP 114</t>
  </si>
  <si>
    <t>CR 31 20 26</t>
  </si>
  <si>
    <t xml:space="preserve">CL 176  54 15 T3 AP 1723 </t>
  </si>
  <si>
    <t>1038103809</t>
  </si>
  <si>
    <t>SAAVEDRA RAMOS MARCOS AURELIO</t>
  </si>
  <si>
    <t>CL 130 C BIS  103 A 34</t>
  </si>
  <si>
    <t>MARCOS.SAAVEDRA@rockwellautomation.com</t>
  </si>
  <si>
    <t xml:space="preserve">03164969826              </t>
  </si>
  <si>
    <t>CL 114 43 26 T2 AP 804</t>
  </si>
  <si>
    <t xml:space="preserve">98695054                 </t>
  </si>
  <si>
    <t>CL 147 7G 20 I3 AP 201</t>
  </si>
  <si>
    <t>TRV 3C 48 A 40 AP 301</t>
  </si>
  <si>
    <t xml:space="preserve">YOPAL                         </t>
  </si>
  <si>
    <t>CR 24 12 22 AP 204</t>
  </si>
  <si>
    <t xml:space="preserve">TULUA                         </t>
  </si>
  <si>
    <t>CL 42 A 24 14</t>
  </si>
  <si>
    <t xml:space="preserve">906282847163             </t>
  </si>
  <si>
    <t>CR 14A 10 27 SUR T4 AP 704</t>
  </si>
  <si>
    <t>CL 19 NORTE 18 23 E HEBRON T1 AP 304</t>
  </si>
  <si>
    <t>CLOUD SOFTWARE ASSOCIATE</t>
  </si>
  <si>
    <t xml:space="preserve">58058433                 </t>
  </si>
  <si>
    <t>1090431686</t>
  </si>
  <si>
    <t>OSORIO RAMIREZ MANUEL ALEJANDRO</t>
  </si>
  <si>
    <t>SENIOR CLOUD ENGINEER</t>
  </si>
  <si>
    <t>1098663077</t>
  </si>
  <si>
    <t>CARVAJAL  OSCAR JAVIER</t>
  </si>
  <si>
    <t>CR 12 18 44</t>
  </si>
  <si>
    <t>OscarJavier.Carvajal@rockwellautomation.com</t>
  </si>
  <si>
    <t>SENIOR SOFTWARE SECURITY ENGINEER</t>
  </si>
  <si>
    <t xml:space="preserve">04888477727              </t>
  </si>
  <si>
    <t>1006017722</t>
  </si>
  <si>
    <t>OROZCO TORRES SEBASTIAN DAVID</t>
  </si>
  <si>
    <t>CR 40 a 40 f sur 51</t>
  </si>
  <si>
    <t>SebastianDavid.Orozco@rockwellautomation.com</t>
  </si>
  <si>
    <t xml:space="preserve">01900064906              </t>
  </si>
  <si>
    <t>1015457111</t>
  </si>
  <si>
    <t>MANRIQUE ROJAS ANDRES FELIPE</t>
  </si>
  <si>
    <t>CR 104  152 c 19</t>
  </si>
  <si>
    <t>AndresFelipe.Manrique@rockwellautomation.com</t>
  </si>
  <si>
    <t>AGREEMENT MANAGER, ASSOCIATE</t>
  </si>
  <si>
    <t xml:space="preserve">830023362585             </t>
  </si>
  <si>
    <t>100129</t>
  </si>
  <si>
    <t>Devolucion aporte afc</t>
  </si>
  <si>
    <t>201301</t>
  </si>
  <si>
    <t>Bank Fee Comission</t>
  </si>
  <si>
    <t>evolucion</t>
  </si>
  <si>
    <t>NOVEDAD REPORTADA</t>
  </si>
  <si>
    <t>DIF CANTI</t>
  </si>
  <si>
    <t>104070</t>
  </si>
  <si>
    <t>104600</t>
  </si>
  <si>
    <t>104071</t>
  </si>
  <si>
    <t xml:space="preserve">CAICEDO                       </t>
  </si>
  <si>
    <t>INCAPACIDAD GENERAL</t>
  </si>
  <si>
    <t xml:space="preserve">OSSIO               </t>
  </si>
  <si>
    <t xml:space="preserve">ZAPATEIRO                     </t>
  </si>
  <si>
    <t xml:space="preserve">LUISA               </t>
  </si>
  <si>
    <r>
      <t>se calcula con dias de</t>
    </r>
    <r>
      <rPr>
        <sz val="11"/>
        <color theme="5"/>
        <rFont val="Calibri"/>
        <family val="2"/>
      </rPr>
      <t xml:space="preserve"> Inc. por Enfermedad Comun  </t>
    </r>
    <r>
      <rPr>
        <sz val="11"/>
        <rFont val="Calibri"/>
        <family val="2"/>
      </rPr>
      <t xml:space="preserve">   </t>
    </r>
  </si>
  <si>
    <t>lo toma sobre salario actual y se toma sobre total de dias de incapacidad</t>
  </si>
  <si>
    <t>PORTFOLIO EXPERT ITD</t>
  </si>
  <si>
    <t>PORTFOLIO EXPERT, SWC</t>
  </si>
  <si>
    <t>PRODUCTION OPTIMIZATION BUSINESS LEAD</t>
  </si>
  <si>
    <t>SR. MARKETING MANAGER LATAM</t>
  </si>
  <si>
    <t>LEAD UI DESIGNER</t>
  </si>
  <si>
    <t>1151941692</t>
  </si>
  <si>
    <t>PEREZ HERNANDEZ ANDRES MAURICIO</t>
  </si>
  <si>
    <t>CR 119b 60b 147 AP 4506</t>
  </si>
  <si>
    <t>ANDRES.M.HERNANDEZ@rockwellautomation.com</t>
  </si>
  <si>
    <t>BUSINESS SYSTEMS ANALYST</t>
  </si>
  <si>
    <t xml:space="preserve">06298184611              </t>
  </si>
  <si>
    <t>80844918</t>
  </si>
  <si>
    <t>SÁNCHEZ RUIZ ANDRÉS CAMILO</t>
  </si>
  <si>
    <t>TR 13f Bis Este 47c 74 Sur</t>
  </si>
  <si>
    <t>Andres.C.Sanchez@rockwellautomation.com</t>
  </si>
  <si>
    <t>SENIOR ENGINEER - OBSERVABILITY</t>
  </si>
  <si>
    <t xml:space="preserve">24113569254              </t>
  </si>
  <si>
    <t xml:space="preserve">ACACIAS                       </t>
  </si>
  <si>
    <t>DG 6 30 01 RESERVA YACARE C 193</t>
  </si>
  <si>
    <t xml:space="preserve">217224294                </t>
  </si>
  <si>
    <t>MARKET ACCESS SPECIALIST</t>
  </si>
  <si>
    <t>AUTOPISTA PIEDRAHITA VIA MANTILLA 180 T3 AP 904</t>
  </si>
  <si>
    <t>CR 36 D 43 SUR 180</t>
  </si>
  <si>
    <t xml:space="preserve">24269589                 </t>
  </si>
  <si>
    <t>CR 6 ESTE 4 34 HUERTAS RESERVADOS 1 T12 AP 403</t>
  </si>
  <si>
    <t>CL 161 54 87 T 3 AP 506</t>
  </si>
  <si>
    <t>21527646</t>
  </si>
  <si>
    <t>MARTINEZ BETANCUR LINA MARIA</t>
  </si>
  <si>
    <t>CR 81b 7a 40</t>
  </si>
  <si>
    <t>LinaMaria.Martinez@rockwellautomation.com</t>
  </si>
  <si>
    <t xml:space="preserve">10597185892              </t>
  </si>
  <si>
    <t>98566868</t>
  </si>
  <si>
    <t>CARMONA DUQUE DIEGO ALEJANDRO</t>
  </si>
  <si>
    <t xml:space="preserve">ENVIGADO                      </t>
  </si>
  <si>
    <t>CL 31 sur 47a 02</t>
  </si>
  <si>
    <t>DiegoAlejandro.Carmona@rockwellautomation.com</t>
  </si>
  <si>
    <t>DATA ANALYST</t>
  </si>
  <si>
    <t xml:space="preserve">02904350799              </t>
  </si>
  <si>
    <t>80831812</t>
  </si>
  <si>
    <t>CASTRO LANCHEROS ANGEL ALBERTO</t>
  </si>
  <si>
    <t>CR 73 39 64 sur I17 AP 133</t>
  </si>
  <si>
    <t>AngelAlberto.Castro@rockwellautomation.com</t>
  </si>
  <si>
    <t xml:space="preserve">24054681983              </t>
  </si>
  <si>
    <t>1019064022</t>
  </si>
  <si>
    <t>ARIAS LOZANO CLAUDIA LILIANA</t>
  </si>
  <si>
    <t>CL 83a 112f 15</t>
  </si>
  <si>
    <t>ClaudiaLiliana.Arias@rockwellautomation.com</t>
  </si>
  <si>
    <t>CUSTOMER SERVICE ANALYST</t>
  </si>
  <si>
    <t xml:space="preserve">67497926073              </t>
  </si>
  <si>
    <t>1022389912</t>
  </si>
  <si>
    <t>DAZA LEON MELISSA</t>
  </si>
  <si>
    <t>CL 9d sur 08 72 este</t>
  </si>
  <si>
    <t>Melissa.Daza@rockwellautomation.com</t>
  </si>
  <si>
    <t>INTERN, POTENTIAL ENGINEER ISM</t>
  </si>
  <si>
    <t xml:space="preserve">21700004674              </t>
  </si>
  <si>
    <t>98761116</t>
  </si>
  <si>
    <t>QUINTERO ACEVEDO SERGIO ANDRES</t>
  </si>
  <si>
    <t>CL 38 sur 27 200</t>
  </si>
  <si>
    <t>SergioAndres.Quintero@rockwellautomation.com</t>
  </si>
  <si>
    <t>REGIONAL INFORMATION SECURITY MANAGER, LATAM</t>
  </si>
  <si>
    <t xml:space="preserve">00772547315              </t>
  </si>
  <si>
    <t>10133901</t>
  </si>
  <si>
    <t>PEREZ PUERTA DAVID ALBERTO</t>
  </si>
  <si>
    <t>CL 3 18 50 AP 1904</t>
  </si>
  <si>
    <t>DavidAlberto.Perez@rockwellautomation.com</t>
  </si>
  <si>
    <t>TECHNICAL SITE COORDINATOR - NORTH AMERICA AND LATIN AMERICA</t>
  </si>
  <si>
    <t xml:space="preserve">70601154278              </t>
  </si>
  <si>
    <t>1016095826</t>
  </si>
  <si>
    <t>HERNANDEZ RODRIGUEZ DANIEL SANTIAGO</t>
  </si>
  <si>
    <t>CR 72a 24 72</t>
  </si>
  <si>
    <t>DanielSantiago.Hernandez@rockwellautomation.com</t>
  </si>
  <si>
    <t>BILLING ADMINISTRATOR</t>
  </si>
  <si>
    <t xml:space="preserve">488422351533             </t>
  </si>
  <si>
    <t>100004</t>
  </si>
  <si>
    <t xml:space="preserve">OROZCO              </t>
  </si>
  <si>
    <t xml:space="preserve">MANRIQUE            </t>
  </si>
  <si>
    <t xml:space="preserve">SAAVEDRA            </t>
  </si>
  <si>
    <t xml:space="preserve">MARCOS              </t>
  </si>
  <si>
    <t xml:space="preserve">AURELIO                       </t>
  </si>
  <si>
    <t xml:space="preserve">MANUEL              </t>
  </si>
  <si>
    <t xml:space="preserve">CARVAJAL                      </t>
  </si>
  <si>
    <t>valor total</t>
  </si>
  <si>
    <t>incapacidad</t>
  </si>
  <si>
    <t xml:space="preserve">% final </t>
  </si>
  <si>
    <t>Vejez</t>
  </si>
  <si>
    <t>Dependiente pensionado por vejez activo</t>
  </si>
  <si>
    <t>MANAGER, BUSINESS SEGMENT ITD</t>
  </si>
  <si>
    <t>MANAGER, BUSINESS SEGMENT SWC</t>
  </si>
  <si>
    <t>MANAGER, BUSINESS SEGMENT LCS</t>
  </si>
  <si>
    <t>CONTRACT CAPABILITY MANAGER, ANDEAN</t>
  </si>
  <si>
    <t xml:space="preserve">SCOTIABANK COLOMBIA           </t>
  </si>
  <si>
    <t xml:space="preserve">1011525918               </t>
  </si>
  <si>
    <t xml:space="preserve">SABANALARGA                   </t>
  </si>
  <si>
    <t>104073 - 104073</t>
  </si>
  <si>
    <t>PROPOSAL PROCESS LEAD – LATIN AMERICA</t>
  </si>
  <si>
    <t>1019148431</t>
  </si>
  <si>
    <t>GOMEZ VELASQUEZ NICOLAS SANTIAGO</t>
  </si>
  <si>
    <t>CL 130 C 59 D 75 TORRE 1, APTO 502</t>
  </si>
  <si>
    <t>Nicolas.Gomez@rockwellautomation.com</t>
  </si>
  <si>
    <t xml:space="preserve">                </t>
  </si>
  <si>
    <t xml:space="preserve">4602036344               </t>
  </si>
  <si>
    <t>1014262008</t>
  </si>
  <si>
    <t>GONZALEZ ROZO SERGIO WILBERTH</t>
  </si>
  <si>
    <t>CR 56 152 B 71  T3 A1003</t>
  </si>
  <si>
    <t>Sergio.Rozo@rockwellautomation.com</t>
  </si>
  <si>
    <t>SENIOR INFRASTRUCTURE AUTOMATION ENGINEER</t>
  </si>
  <si>
    <t xml:space="preserve">69923160183              </t>
  </si>
  <si>
    <t>2000008964</t>
  </si>
  <si>
    <t xml:space="preserve">0550488456119426         </t>
  </si>
  <si>
    <t>ENTERPRISE SOFTWARE SOLUTION CONSULTANT</t>
  </si>
  <si>
    <t>104041 - 104041</t>
  </si>
  <si>
    <t>487063</t>
  </si>
  <si>
    <t>ZAMBRANO  RAFAEL</t>
  </si>
  <si>
    <t>CL 145 7 F 47 Apto 402</t>
  </si>
  <si>
    <t>RLUNA@SENSIAGLOBAL.COM</t>
  </si>
  <si>
    <t>SR. HR AND BUSINESS PROCESS ANALYST</t>
  </si>
  <si>
    <t xml:space="preserve">0897007231               </t>
  </si>
  <si>
    <t>CL 5 26 03</t>
  </si>
  <si>
    <t>CARVAJAL CARVAJAL OSCAR JAVIER</t>
  </si>
  <si>
    <t>80770040</t>
  </si>
  <si>
    <t>CR 55 A 188 95 CASA 26</t>
  </si>
  <si>
    <t>PAmezqu@rockwellautomation.com</t>
  </si>
  <si>
    <t xml:space="preserve">0126296086               </t>
  </si>
  <si>
    <t>CUSTOMER CARE ADVOCATE</t>
  </si>
  <si>
    <t>001066</t>
  </si>
  <si>
    <t>Hora Rec Diur Dom/Fest</t>
  </si>
  <si>
    <t>111147</t>
  </si>
  <si>
    <t>Hora Recargo Diurna Dominical/Festiva</t>
  </si>
  <si>
    <t>Descuento HEDD</t>
  </si>
  <si>
    <t>001067</t>
  </si>
  <si>
    <t xml:space="preserve">Hora Dominical o Festiva Ordinaria                </t>
  </si>
  <si>
    <t>100033</t>
  </si>
  <si>
    <t>Descuento Rec Nocturno</t>
  </si>
  <si>
    <t>retirado</t>
  </si>
  <si>
    <t xml:space="preserve">PUERTA                        </t>
  </si>
  <si>
    <t xml:space="preserve">LOZANO                        </t>
  </si>
  <si>
    <t xml:space="preserve">LILIANA                       </t>
  </si>
  <si>
    <t xml:space="preserve">MELISSA             </t>
  </si>
  <si>
    <t xml:space="preserve">LINA                </t>
  </si>
  <si>
    <t>1. DEPENDIENTE PENSIONADO ACTIVO</t>
  </si>
  <si>
    <t xml:space="preserve">CASTRO              </t>
  </si>
  <si>
    <t xml:space="preserve">LANCHEROS                     </t>
  </si>
  <si>
    <t xml:space="preserve">CARMONA             </t>
  </si>
  <si>
    <t xml:space="preserve">DUQUE                         </t>
  </si>
  <si>
    <t>ENVIGADO</t>
  </si>
  <si>
    <t>solo estas 2 personas no reciben aux de conectividad por que estan 100% presencial</t>
  </si>
  <si>
    <t>LICENCIA NO REMUNERADA</t>
  </si>
  <si>
    <t xml:space="preserve">Hora Dominical o Festiva Ordinaria         </t>
  </si>
  <si>
    <t>pensionado</t>
  </si>
  <si>
    <t>1140844329</t>
  </si>
  <si>
    <t>HERNÁNDEZ OTERO JOSÉ DAVID</t>
  </si>
  <si>
    <t>CR 32B 63B Sur 33</t>
  </si>
  <si>
    <t>3002000000</t>
  </si>
  <si>
    <t>JoseDavid.Hernandez@rockwellautomation.com</t>
  </si>
  <si>
    <t xml:space="preserve">151664992                </t>
  </si>
  <si>
    <t>1017241991</t>
  </si>
  <si>
    <t>SUAREZ MIRANDA LEIDY</t>
  </si>
  <si>
    <t>CL 104CC 82E 30</t>
  </si>
  <si>
    <t>MULESOFT DEVELOPER</t>
  </si>
  <si>
    <t xml:space="preserve">17754240                 </t>
  </si>
  <si>
    <t>1032484758</t>
  </si>
  <si>
    <t>RUIZ SOLANO NATHALY ELIZABETH</t>
  </si>
  <si>
    <t xml:space="preserve">COTA                          </t>
  </si>
  <si>
    <t>KM 1.5 VTE COTA CHIA PALO DE AGUA CH18</t>
  </si>
  <si>
    <t>NathalyElizabeth.Ruiz@rockwellautomation.com</t>
  </si>
  <si>
    <t>CHANGE &amp; PROBLEM SR. ANALYST</t>
  </si>
  <si>
    <t xml:space="preserve">70582881                 </t>
  </si>
  <si>
    <t>1000125906</t>
  </si>
  <si>
    <t>GUTIERREZ QUITIAN RONAL YESID</t>
  </si>
  <si>
    <t>CR 26 44 SUR 96</t>
  </si>
  <si>
    <t>RonalYesid.Gutierrez@rockwellautomation.com</t>
  </si>
  <si>
    <t>OT SOC ANALYST</t>
  </si>
  <si>
    <t xml:space="preserve">91266229785              </t>
  </si>
  <si>
    <t>53069333</t>
  </si>
  <si>
    <t>OLIVELLA PARDO MARÍA CLAUDIA</t>
  </si>
  <si>
    <t>VD La Mosquita Finca 114</t>
  </si>
  <si>
    <t>MariaClaudia.OlivellaPardo@rockwellautomation.com</t>
  </si>
  <si>
    <t xml:space="preserve">430133354696             </t>
  </si>
  <si>
    <t>1038406733</t>
  </si>
  <si>
    <t>HENAO CASTAÑO DAVID STIVEN</t>
  </si>
  <si>
    <t>100007</t>
  </si>
  <si>
    <t>Bonificacion AEIP</t>
  </si>
  <si>
    <t>111502</t>
  </si>
  <si>
    <t>Hora Rec Diurna 0,25</t>
  </si>
  <si>
    <t>111503</t>
  </si>
  <si>
    <t>Hora Rec Nocturno 0,75</t>
  </si>
  <si>
    <t>111504</t>
  </si>
  <si>
    <t>Bonificacion One Time</t>
  </si>
  <si>
    <t>200036</t>
  </si>
  <si>
    <t>Myr valor Hora Dom o Fest Ord</t>
  </si>
  <si>
    <t>100020</t>
  </si>
  <si>
    <t>Bono de Contratacion</t>
  </si>
  <si>
    <t>fac presta</t>
  </si>
  <si>
    <t>104073</t>
  </si>
  <si>
    <t>104041</t>
  </si>
  <si>
    <t xml:space="preserve">ROZO                          </t>
  </si>
  <si>
    <t xml:space="preserve">WILBERTH                      </t>
  </si>
  <si>
    <t xml:space="preserve">ZAMBRANO            </t>
  </si>
  <si>
    <t xml:space="preserve">AMEZQUITA           </t>
  </si>
  <si>
    <t>tipo contrato</t>
  </si>
  <si>
    <t xml:space="preserve">ajuste vac </t>
  </si>
  <si>
    <t>CR  8 172A 85</t>
  </si>
  <si>
    <t>CL 7 15 25 C D10</t>
  </si>
  <si>
    <t xml:space="preserve">0633003946               </t>
  </si>
  <si>
    <t>CR 5 14 55 AP 301</t>
  </si>
  <si>
    <t>PA</t>
  </si>
  <si>
    <t>SR PROJECT ENGINEER, SOFTWARE</t>
  </si>
  <si>
    <t>104064 - 104064</t>
  </si>
  <si>
    <t xml:space="preserve"> </t>
  </si>
  <si>
    <t>Leidy.Suarez@rockwellautomation.com</t>
  </si>
  <si>
    <t>1010110125</t>
  </si>
  <si>
    <t>RAMIREZ BARRERA LUIS ALEJANDRO</t>
  </si>
  <si>
    <t>Carrera 56a#148-87</t>
  </si>
  <si>
    <t>3118105653</t>
  </si>
  <si>
    <t>Alejandroramirezb12@outlook.com</t>
  </si>
  <si>
    <t>BUSINESS INTELLIGENCE ANALYST ECX</t>
  </si>
  <si>
    <t xml:space="preserve">60100024180              </t>
  </si>
  <si>
    <t>1098805696</t>
  </si>
  <si>
    <t>RAFAEL FERNANDO LINDARTE SALCEDO</t>
  </si>
  <si>
    <t>CL 55 67b 160</t>
  </si>
  <si>
    <t>RafaelFernando.Lindarte@rockwellautomation.com</t>
  </si>
  <si>
    <t>TECHNICAL PRODUCT OWNER</t>
  </si>
  <si>
    <t xml:space="preserve">83265601483              </t>
  </si>
  <si>
    <t>1065292353</t>
  </si>
  <si>
    <t>SALGADO AVILEZ KELLY JOHANA</t>
  </si>
  <si>
    <t>CL 27 B CR 70 82</t>
  </si>
  <si>
    <t>5922777</t>
  </si>
  <si>
    <t>KellyJohana.Salgado@rockwellautomation.com</t>
  </si>
  <si>
    <t xml:space="preserve">58045851948              </t>
  </si>
  <si>
    <t>1023624609</t>
  </si>
  <si>
    <t>CORREA BOTERO DANIEL</t>
  </si>
  <si>
    <t>CL 47A   6AB 30</t>
  </si>
  <si>
    <t>Daniel.Correa@rockwellautomation.com</t>
  </si>
  <si>
    <t xml:space="preserve">93554750867              </t>
  </si>
  <si>
    <t>1033486192</t>
  </si>
  <si>
    <t>GUTIERREZ MARTINEZ JUAN CAMILO</t>
  </si>
  <si>
    <t>CL 57 A 63 89</t>
  </si>
  <si>
    <t>JuanCamilo.Gutierrez@rockwellautomation.com</t>
  </si>
  <si>
    <t xml:space="preserve">31192399621              </t>
  </si>
  <si>
    <t>1007017298</t>
  </si>
  <si>
    <t>STRAUCH CARDONA STEPHANY</t>
  </si>
  <si>
    <t>CL 2 S oikos monterrey C 57</t>
  </si>
  <si>
    <t>Stephany.Strauch@rockwellautomation.com</t>
  </si>
  <si>
    <t xml:space="preserve">84400002121              </t>
  </si>
  <si>
    <t>1000412576</t>
  </si>
  <si>
    <t>MONTOYA JARAMILLO BRANDO YESID</t>
  </si>
  <si>
    <t>CL 84  47 23</t>
  </si>
  <si>
    <t>BrandoYesid.Montoya@rockwellautomation.com</t>
  </si>
  <si>
    <t xml:space="preserve">91234510466              </t>
  </si>
  <si>
    <t>1020102987</t>
  </si>
  <si>
    <t>TABARES RÍOS SUSANA</t>
  </si>
  <si>
    <t xml:space="preserve">ABEJORRAL                     </t>
  </si>
  <si>
    <t>Cl 48 # 47A 50</t>
  </si>
  <si>
    <t>SUSANA.RIOS@rockwellautomation.com</t>
  </si>
  <si>
    <t xml:space="preserve">40097330605              </t>
  </si>
  <si>
    <t>1107834249</t>
  </si>
  <si>
    <t>QUINTERO COLORADO FREDDY</t>
  </si>
  <si>
    <t>CL 48 C 65 35</t>
  </si>
  <si>
    <t>Freddy.Quintero@rockwellautomation.com</t>
  </si>
  <si>
    <t xml:space="preserve">68346273                 </t>
  </si>
  <si>
    <t>total uvt</t>
  </si>
  <si>
    <t>anterior</t>
  </si>
  <si>
    <t>100009</t>
  </si>
  <si>
    <t>Reintegro Embargo</t>
  </si>
  <si>
    <t>ok</t>
  </si>
  <si>
    <t xml:space="preserve">QUITIAN                       </t>
  </si>
  <si>
    <t xml:space="preserve">RONAL               </t>
  </si>
  <si>
    <t xml:space="preserve">YESID                         </t>
  </si>
  <si>
    <t xml:space="preserve">SOLANO                        </t>
  </si>
  <si>
    <t xml:space="preserve">NATHALY             </t>
  </si>
  <si>
    <t xml:space="preserve">ELIZABETH                     </t>
  </si>
  <si>
    <t>COTA</t>
  </si>
  <si>
    <t xml:space="preserve">CASTAÑO                       </t>
  </si>
  <si>
    <t xml:space="preserve">STIVEN                        </t>
  </si>
  <si>
    <t xml:space="preserve">OTERO                         </t>
  </si>
  <si>
    <t>LICENCIA REMUNERADA</t>
  </si>
  <si>
    <t xml:space="preserve">OLIVELLA            </t>
  </si>
  <si>
    <t xml:space="preserve">PARDO                         </t>
  </si>
  <si>
    <t xml:space="preserve">CLAUDIA                       </t>
  </si>
  <si>
    <t>Bonificacion RSU-DIVIDEND</t>
  </si>
  <si>
    <t>SERNA BETANCUR SANTIAGO</t>
  </si>
  <si>
    <t>100032</t>
  </si>
  <si>
    <t>Licencia de Duelo</t>
  </si>
  <si>
    <t>LINDARTE SALCEDO RAFAEL FERNANDO</t>
  </si>
  <si>
    <t>RÍOS TABARES SUSANA</t>
  </si>
  <si>
    <t>SALAZAR MENDOZA SOFIA ALEJANDRA</t>
  </si>
  <si>
    <t>CANO CASTRO JULIAN CAMILO</t>
  </si>
  <si>
    <t>MURILLO MURILLO JHOANA JUSTINA</t>
  </si>
  <si>
    <t>Ausencia</t>
  </si>
  <si>
    <t xml:space="preserve">256682287                </t>
  </si>
  <si>
    <t>CR 38 16 SUR  32 P 2</t>
  </si>
  <si>
    <t>4441074</t>
  </si>
  <si>
    <t>JZURITA@RA.ROCKWELL.COM</t>
  </si>
  <si>
    <t xml:space="preserve">262858533                </t>
  </si>
  <si>
    <t>Vacaciones</t>
  </si>
  <si>
    <t>SUCCES ENABLEMENT LEAD</t>
  </si>
  <si>
    <t>1036966767</t>
  </si>
  <si>
    <t>Vdalascuchillasfinca255</t>
  </si>
  <si>
    <t>2000000</t>
  </si>
  <si>
    <t>3017000000</t>
  </si>
  <si>
    <t>5@gmail.com</t>
  </si>
  <si>
    <t xml:space="preserve">55683822662              </t>
  </si>
  <si>
    <t>SALES SUPPORT REPRESENTATIVE</t>
  </si>
  <si>
    <t>CL 49 Norte 4AN 35</t>
  </si>
  <si>
    <t xml:space="preserve">03903628595              </t>
  </si>
  <si>
    <t>KR 55 No 174-27 Apto 302</t>
  </si>
  <si>
    <t>CL 15c sur 29c 08</t>
  </si>
  <si>
    <t>2395891</t>
  </si>
  <si>
    <t>Samuel.Bejarano@rockwellautomation.com</t>
  </si>
  <si>
    <t xml:space="preserve">90735697799              </t>
  </si>
  <si>
    <t>CL 23 a sur 51 35</t>
  </si>
  <si>
    <t>6257519</t>
  </si>
  <si>
    <t>Daniel.Restrepo@rockwellautomation.com</t>
  </si>
  <si>
    <t xml:space="preserve">95633424                 </t>
  </si>
  <si>
    <t xml:space="preserve">500922356                </t>
  </si>
  <si>
    <t>Avda CR 68  5 75 APTO 825</t>
  </si>
  <si>
    <t>SYSTEMS ANALYST</t>
  </si>
  <si>
    <t xml:space="preserve">NEQUI                         </t>
  </si>
  <si>
    <t>1001168754</t>
  </si>
  <si>
    <t>CL45a25a30</t>
  </si>
  <si>
    <t>6@gmail.com</t>
  </si>
  <si>
    <t>SALES INTELLIGENCE SPECIALIST</t>
  </si>
  <si>
    <t xml:space="preserve">19269591253              </t>
  </si>
  <si>
    <t>1233490366</t>
  </si>
  <si>
    <t>CL57a</t>
  </si>
  <si>
    <t>1@gmail.com</t>
  </si>
  <si>
    <t xml:space="preserve">0391005862               </t>
  </si>
  <si>
    <t>44006731</t>
  </si>
  <si>
    <t>TV38AA57110APTO322</t>
  </si>
  <si>
    <t>3@gmail.com</t>
  </si>
  <si>
    <t xml:space="preserve">10163278702              </t>
  </si>
  <si>
    <t>INGRESO</t>
  </si>
  <si>
    <t>104064</t>
  </si>
  <si>
    <t>Ajuste Vacaciones</t>
  </si>
  <si>
    <t>RETIRO AL 17 DE FEBRERO</t>
  </si>
  <si>
    <t xml:space="preserve">BRANDO              </t>
  </si>
  <si>
    <t xml:space="preserve">STRAUCH             </t>
  </si>
  <si>
    <t xml:space="preserve">CARDONA                       </t>
  </si>
  <si>
    <t xml:space="preserve">STEPHANY            </t>
  </si>
  <si>
    <t xml:space="preserve">RIOS                </t>
  </si>
  <si>
    <t xml:space="preserve">TABARES                       </t>
  </si>
  <si>
    <t xml:space="preserve">SUSANA              </t>
  </si>
  <si>
    <t xml:space="preserve">SALGADO             </t>
  </si>
  <si>
    <t xml:space="preserve">AVILEZ                        </t>
  </si>
  <si>
    <t xml:space="preserve">LINDARTE            </t>
  </si>
  <si>
    <t xml:space="preserve">SALCEDO                       </t>
  </si>
  <si>
    <t xml:space="preserve">COLORADO                      </t>
  </si>
  <si>
    <t>TOMA SALARIO * 70%+ EL PAGO DEL 100% DE LA INCAPACIDAD INCLUIDO EL AUXILIO ASUMIDO</t>
  </si>
  <si>
    <t>TOMA SALARIO * 70%+ LOS SALARIALES AL 70% Y EL PAGO DEL 100% DE LA INCAPACIDAD INCLUIDO EL AUXILIO ASUMIDO</t>
  </si>
  <si>
    <t>DIFERENCIA RETENCION SUMANDOLE A INGRESO LA AM</t>
  </si>
  <si>
    <t>DIFERENCIA AI-AJ</t>
  </si>
  <si>
    <t>BONO+DIF</t>
  </si>
  <si>
    <t>BUSCAR OBJETIVO AO/0/AM</t>
  </si>
  <si>
    <t>GROSS UP 100010</t>
  </si>
  <si>
    <t>D030 - GROSS UP FINAL</t>
  </si>
  <si>
    <t>R003 - RETENCION EN LA FUENTE FINAL</t>
  </si>
  <si>
    <t>Licencia de duelo</t>
  </si>
  <si>
    <t>rete stock</t>
  </si>
  <si>
    <t>se elimina</t>
  </si>
  <si>
    <t>iniciar en marzo</t>
  </si>
  <si>
    <t>Transportation Assistance: estos empleados no deben tener el pago por favor se los quitas.</t>
  </si>
  <si>
    <t>Bejarano De La Pava, Samuel</t>
  </si>
  <si>
    <t>Correa Botero, Daniel</t>
  </si>
  <si>
    <t>Gutiérrez Martínez, Juan Camilo</t>
  </si>
  <si>
    <t>Montoya Jaramillo, Brando Yesid</t>
  </si>
  <si>
    <t>Quintero Colorado, Freddy</t>
  </si>
  <si>
    <t>Restrepo Quiñones, Daniel</t>
  </si>
  <si>
    <t>RÍOS TABARES, SUSANA</t>
  </si>
  <si>
    <t>Salgado Avilez, Kelly Johana</t>
  </si>
  <si>
    <t>Strauch Cardona, Stephany</t>
  </si>
  <si>
    <t>no tenia gravada novedad, por su salario</t>
  </si>
  <si>
    <t>y para Santiago Serna me ayudas aplicarle el auxilio de transporte pero en el mes de marzo debido a que entro el 4 y no aplica en este.</t>
  </si>
  <si>
    <t>PROJECT CAPABILITY MANAGER</t>
  </si>
  <si>
    <t>104074 - 104074</t>
  </si>
  <si>
    <t>CONTRACTS ADMINISTRATOR SUPPORT</t>
  </si>
  <si>
    <t>COMFACASANARE</t>
  </si>
  <si>
    <t>CL 153 73 31 To 1 Apto 1406</t>
  </si>
  <si>
    <t>1036673731</t>
  </si>
  <si>
    <t>CL 40 A A SUR 36  30 AP 1005</t>
  </si>
  <si>
    <t>AndresFelipe.Caro@rockwellautomation.com</t>
  </si>
  <si>
    <t>TEST ENGINEER</t>
  </si>
  <si>
    <t xml:space="preserve">37793322161              </t>
  </si>
  <si>
    <t>CYBER CONSULTANT</t>
  </si>
  <si>
    <t xml:space="preserve">90725062    </t>
  </si>
  <si>
    <t>SR. CYBER CONSULTANT</t>
  </si>
  <si>
    <t>1021632653</t>
  </si>
  <si>
    <t>CL 134 5A 14</t>
  </si>
  <si>
    <t>Sofia.Duque@rockwellautomation.com</t>
  </si>
  <si>
    <t>QMS ADMINISTRATOR</t>
  </si>
  <si>
    <t xml:space="preserve">23051170962              </t>
  </si>
  <si>
    <t>COMFACAUCA</t>
  </si>
  <si>
    <t>PORTFOLIO EXPERT, ITD</t>
  </si>
  <si>
    <t>1019107785</t>
  </si>
  <si>
    <t>QUINTERO AVELLA JUAN CAMILO</t>
  </si>
  <si>
    <t>CL 152B 73b 51</t>
  </si>
  <si>
    <t>JuanCamilo.Quintero@rockwellautomation.com</t>
  </si>
  <si>
    <t>DATA GOVERNANCE GENERALIST</t>
  </si>
  <si>
    <t xml:space="preserve">24048078443              </t>
  </si>
  <si>
    <t>1019151746</t>
  </si>
  <si>
    <t>MORALES CASALLAS MARIA FERNANDA</t>
  </si>
  <si>
    <t>CL 159  54   69</t>
  </si>
  <si>
    <t>MariaFernanda.Morales@rockwellautomation.com</t>
  </si>
  <si>
    <t xml:space="preserve">60175450729              </t>
  </si>
  <si>
    <t>1061724810</t>
  </si>
  <si>
    <t>MORALES COLLAZOS ANA SOFIA</t>
  </si>
  <si>
    <t>Vereda Fagua</t>
  </si>
  <si>
    <t>AnaSofia.Morales@rockwellautomation.com</t>
  </si>
  <si>
    <t>TERRITORY ACCOUNT MANAGER, CHANNEL</t>
  </si>
  <si>
    <t xml:space="preserve">262000223                </t>
  </si>
  <si>
    <t>1006794607</t>
  </si>
  <si>
    <t>MORENO GARCIA JUAN CAMILO</t>
  </si>
  <si>
    <t>CL 14416A 56, Apto 202, Edificio Vallery   Barrio Cedritos, Bogotá Colombia</t>
  </si>
  <si>
    <t>JuanCamilo.Moreno@rockwellautomation.com</t>
  </si>
  <si>
    <t xml:space="preserve">94683211014              </t>
  </si>
  <si>
    <t>1023624434</t>
  </si>
  <si>
    <t>FERNANDEZ GRAJALES JUAN FELIPE</t>
  </si>
  <si>
    <t>Cra 84F 3D 150 AP 1936</t>
  </si>
  <si>
    <t>JuanFelipe.Fernandez@rockwellautomation.com</t>
  </si>
  <si>
    <t xml:space="preserve">49348906                 </t>
  </si>
  <si>
    <t xml:space="preserve">ojo unas personas ahora recibiran aux de conectividad o de transporte solo 1 de los dos </t>
  </si>
  <si>
    <t>Observaciones cliente</t>
  </si>
  <si>
    <t>observacion paola</t>
  </si>
  <si>
    <t>Is Last Period=Yes;Correction=No</t>
  </si>
  <si>
    <t>Is Last Period=No;Correction=No</t>
  </si>
  <si>
    <t>2 descuentos478,028 ultimo descto en mayo/ indefinid 439,005</t>
  </si>
  <si>
    <t>Descuentos plan dental</t>
  </si>
  <si>
    <t>Is Last Period=Yes;Correction=Yes;Current Value=0;Previous Value=1</t>
  </si>
  <si>
    <t>Auxilio de conectividad</t>
  </si>
  <si>
    <t>Deseo incrementarlo al máximo permitido, es decir, hasta el 30% del ingreso laboral o ingreso gravado, según lo establecido para este tipo de cuentas</t>
  </si>
  <si>
    <t>Descuento de Libranza de Credito con un total de 60 cuotas h</t>
  </si>
  <si>
    <t>Deseo que por favor a partir del mes de Marzo se me envíen a mi AFC 4.000.000. Solía enviar 3.000.000, sólo requiero dicha modificación, por favor</t>
  </si>
  <si>
    <t>Termino1 credito de 2 que tenia solo queda activo 370644.00</t>
  </si>
  <si>
    <t>reembolso de credito de libranza</t>
  </si>
  <si>
    <t>Agradezco su ayuda para descontar de mi salario COP 997,000 y depositarlo en mi cuenta AFC, adjunto certificación</t>
  </si>
  <si>
    <t>total de 24 cuotas de (501,338)ya tenia otro por (474811)</t>
  </si>
  <si>
    <t>Auxilio de transporte</t>
  </si>
  <si>
    <t>Solicito su apoyo para depositar, de mi nomina mensual, $300.000 COP a mi fondo voluntario de pensión Protección</t>
  </si>
  <si>
    <t>Solo se queda con 1 credito de 2 que tenía</t>
  </si>
  <si>
    <t>reembolso de libranza de Ernesto Tacoronte</t>
  </si>
  <si>
    <t>Descuentos medicina prepagada</t>
  </si>
  <si>
    <t>Descontar 1/5 parte de su sueldo como en aneteriores ocasiones</t>
  </si>
  <si>
    <t>Bank fee comisison de descuentos</t>
  </si>
  <si>
    <t>Wilmer Fernando Bareño Avila</t>
  </si>
  <si>
    <t>Burbano Quenan James Mauricio</t>
  </si>
  <si>
    <r>
      <t xml:space="preserve">OVERTIME -  SE DESCUENTA EN 3 CUOTAS- TERMINA EN </t>
    </r>
    <r>
      <rPr>
        <sz val="11"/>
        <color rgb="FFFF0000"/>
        <rFont val="Calibri"/>
        <family val="2"/>
      </rPr>
      <t>ABRIL</t>
    </r>
  </si>
  <si>
    <r>
      <t>OVERTIME -  SE DESCUENTA EN 10 CUOTAS -</t>
    </r>
    <r>
      <rPr>
        <sz val="11"/>
        <color rgb="FFFF0000"/>
        <rFont val="Calibri"/>
        <family val="2"/>
      </rPr>
      <t xml:space="preserve"> OCTUBRE</t>
    </r>
  </si>
  <si>
    <r>
      <t>OVERTIME -  SE DESCUENTA EN 4 CUOTAS -</t>
    </r>
    <r>
      <rPr>
        <sz val="11"/>
        <color rgb="FFFF0000"/>
        <rFont val="Calibri"/>
        <family val="2"/>
      </rPr>
      <t xml:space="preserve"> ABRIL</t>
    </r>
  </si>
  <si>
    <r>
      <t>OVERTIME -  SE DESCUENTA EN 4 CUOTAS ultimo descuento en</t>
    </r>
    <r>
      <rPr>
        <sz val="11"/>
        <color rgb="FFFF0000"/>
        <rFont val="Calibri"/>
        <family val="2"/>
      </rPr>
      <t xml:space="preserve"> marzo</t>
    </r>
  </si>
  <si>
    <r>
      <t xml:space="preserve">OVERTIME -  SE DESCUENTA EN 4 CUOTAS - </t>
    </r>
    <r>
      <rPr>
        <sz val="11"/>
        <color rgb="FFFF0000"/>
        <rFont val="Calibri"/>
        <family val="2"/>
      </rPr>
      <t>ABRIL</t>
    </r>
  </si>
  <si>
    <r>
      <t>OVERTIME -  SE DESCUENTA EN 6 CUOTAS ultimo descuento en</t>
    </r>
    <r>
      <rPr>
        <sz val="11"/>
        <color rgb="FFFF0000"/>
        <rFont val="Calibri"/>
        <family val="2"/>
      </rPr>
      <t xml:space="preserve"> mayo</t>
    </r>
  </si>
  <si>
    <r>
      <t xml:space="preserve">OVERTIME -  SE DESCUENTA EN 2 CUOTA,ultimo descuento </t>
    </r>
    <r>
      <rPr>
        <sz val="11"/>
        <color rgb="FFFF0000"/>
        <rFont val="Calibri"/>
        <family val="2"/>
        <scheme val="minor"/>
      </rPr>
      <t>marzo</t>
    </r>
  </si>
  <si>
    <t>inicia en marzo</t>
  </si>
  <si>
    <t>LICENCIAS</t>
  </si>
  <si>
    <t xml:space="preserve">vac por 1 dia </t>
  </si>
  <si>
    <t xml:space="preserve">SOFIA               </t>
  </si>
  <si>
    <t xml:space="preserve">SERNA               </t>
  </si>
  <si>
    <t xml:space="preserve">MURILLO                       </t>
  </si>
  <si>
    <t xml:space="preserve">JHOANA              </t>
  </si>
  <si>
    <t xml:space="preserve">JUSTINA                       </t>
  </si>
  <si>
    <t>lic paternidad</t>
  </si>
  <si>
    <t>lic luto</t>
  </si>
  <si>
    <t>se deja el valor delo legal</t>
  </si>
  <si>
    <t>marzo</t>
  </si>
  <si>
    <t xml:space="preserve">Dependiente</t>
  </si>
  <si>
    <t xml:space="preserve">No</t>
  </si>
  <si>
    <t xml:space="preserve">2,00%</t>
  </si>
  <si>
    <t xml:space="preserve">3,00%</t>
  </si>
  <si>
    <t xml:space="preserve">0,00%</t>
  </si>
  <si>
    <t xml:space="preserve">Si</t>
  </si>
  <si>
    <t xml:space="preserve">16,00%</t>
  </si>
  <si>
    <t xml:space="preserve">SIN RIESGO</t>
  </si>
  <si>
    <t xml:space="preserve">12,50%</t>
  </si>
  <si>
    <t xml:space="preserve">6,96%</t>
  </si>
  <si>
    <t xml:space="preserve">4,00%</t>
  </si>
  <si>
    <t xml:space="preserve">BRAVO</t>
  </si>
  <si>
    <t xml:space="preserve">SOLARTE</t>
  </si>
  <si>
    <t xml:space="preserve">HECTOR</t>
  </si>
  <si>
    <t xml:space="preserve">MARIO</t>
  </si>
  <si>
    <t xml:space="preserve">2026-02-10</t>
  </si>
  <si>
    <t xml:space="preserve">2026-02-13</t>
  </si>
  <si>
    <t xml:space="preserve">RESTREPO</t>
  </si>
  <si>
    <t xml:space="preserve">MARIN</t>
  </si>
  <si>
    <t xml:space="preserve">PAOLA</t>
  </si>
  <si>
    <t xml:space="preserve">COMFENALCO QUINDIO</t>
  </si>
  <si>
    <t xml:space="preserve">OCAMPO</t>
  </si>
  <si>
    <t xml:space="preserve">JARAMILLO</t>
  </si>
  <si>
    <t xml:space="preserve">OSCAR</t>
  </si>
  <si>
    <t xml:space="preserve">DANIEL</t>
  </si>
  <si>
    <t xml:space="preserve">PABON</t>
  </si>
  <si>
    <t xml:space="preserve">RINCON</t>
  </si>
  <si>
    <t xml:space="preserve">RICARDO</t>
  </si>
  <si>
    <t xml:space="preserve">ANDRES</t>
  </si>
  <si>
    <t xml:space="preserve">2026-02-02</t>
  </si>
  <si>
    <t xml:space="preserve">2026-02-03</t>
  </si>
  <si>
    <t xml:space="preserve">VILLA</t>
  </si>
  <si>
    <t xml:space="preserve">VASQUEZ</t>
  </si>
  <si>
    <t xml:space="preserve">JHOHANNS</t>
  </si>
  <si>
    <t xml:space="preserve">ANGULO</t>
  </si>
  <si>
    <t xml:space="preserve">ARTUNDUAGA</t>
  </si>
  <si>
    <t xml:space="preserve">LUIS</t>
  </si>
  <si>
    <t xml:space="preserve">FERNANDO</t>
  </si>
  <si>
    <t xml:space="preserve">BONIVENTO</t>
  </si>
  <si>
    <t xml:space="preserve">CELIS</t>
  </si>
  <si>
    <t xml:space="preserve">CERVANTES</t>
  </si>
  <si>
    <t xml:space="preserve">MONTERO</t>
  </si>
  <si>
    <t xml:space="preserve">ELIAS</t>
  </si>
  <si>
    <t xml:space="preserve">2026-02-01</t>
  </si>
  <si>
    <t xml:space="preserve">SOLANO</t>
  </si>
  <si>
    <t xml:space="preserve">CARRILLO</t>
  </si>
  <si>
    <t xml:space="preserve">JESUS</t>
  </si>
  <si>
    <t xml:space="preserve">ABEL</t>
  </si>
  <si>
    <t xml:space="preserve">SOLIS</t>
  </si>
  <si>
    <t xml:space="preserve">PADILLA</t>
  </si>
  <si>
    <t xml:space="preserve">JOHNATTAN</t>
  </si>
  <si>
    <t xml:space="preserve">TRESPALACIOS</t>
  </si>
  <si>
    <t xml:space="preserve">GRANADILLO</t>
  </si>
  <si>
    <t xml:space="preserve">COMFAMA</t>
  </si>
  <si>
    <t xml:space="preserve">GUTIERREZ</t>
  </si>
  <si>
    <t xml:space="preserve">MARTINEZ</t>
  </si>
  <si>
    <t xml:space="preserve">JUAN</t>
  </si>
  <si>
    <t xml:space="preserve">CAMILO</t>
  </si>
  <si>
    <t xml:space="preserve">LINDARTE</t>
  </si>
  <si>
    <t xml:space="preserve">SALCEDO</t>
  </si>
  <si>
    <t xml:space="preserve">RAFAEL</t>
  </si>
  <si>
    <t xml:space="preserve">TORO</t>
  </si>
  <si>
    <t xml:space="preserve">ARANGO</t>
  </si>
  <si>
    <t xml:space="preserve">DAVID</t>
  </si>
  <si>
    <t xml:space="preserve">ESTEBAN</t>
  </si>
  <si>
    <t xml:space="preserve">ABELLA</t>
  </si>
  <si>
    <t xml:space="preserve">BEJARANO</t>
  </si>
  <si>
    <t xml:space="preserve">BRIEN</t>
  </si>
  <si>
    <t xml:space="preserve">LEONARDO</t>
  </si>
  <si>
    <t xml:space="preserve">BOGOTA D.E.</t>
  </si>
  <si>
    <t xml:space="preserve">AGUDELO</t>
  </si>
  <si>
    <t xml:space="preserve">TRILLERAS</t>
  </si>
  <si>
    <t xml:space="preserve">JULIO</t>
  </si>
  <si>
    <t xml:space="preserve">CESAR</t>
  </si>
  <si>
    <t xml:space="preserve">ALBESANO</t>
  </si>
  <si>
    <t xml:space="preserve">RODRIGUEZ</t>
  </si>
  <si>
    <t xml:space="preserve">TOMAS</t>
  </si>
  <si>
    <t xml:space="preserve">ENRICO</t>
  </si>
  <si>
    <t xml:space="preserve">ALDANA</t>
  </si>
  <si>
    <t xml:space="preserve">FERNANDEZ</t>
  </si>
  <si>
    <t xml:space="preserve">NAYIVE</t>
  </si>
  <si>
    <t xml:space="preserve">EUGENIA</t>
  </si>
  <si>
    <t xml:space="preserve">2026-02-07</t>
  </si>
  <si>
    <t xml:space="preserve">ALVAREZ</t>
  </si>
  <si>
    <t xml:space="preserve">CASANOVA</t>
  </si>
  <si>
    <t xml:space="preserve">MARIA</t>
  </si>
  <si>
    <t xml:space="preserve">JULIANA</t>
  </si>
  <si>
    <t xml:space="preserve">AMEZQUITA</t>
  </si>
  <si>
    <t xml:space="preserve">TORRES</t>
  </si>
  <si>
    <t xml:space="preserve">PEDRO</t>
  </si>
  <si>
    <t xml:space="preserve">ANTONIO</t>
  </si>
  <si>
    <t xml:space="preserve">ARAQUE</t>
  </si>
  <si>
    <t xml:space="preserve">GUERRERO</t>
  </si>
  <si>
    <t xml:space="preserve">JAIME</t>
  </si>
  <si>
    <t xml:space="preserve">ALEJANDRO</t>
  </si>
  <si>
    <t xml:space="preserve">2026-02-16</t>
  </si>
  <si>
    <t xml:space="preserve">2026-02-20</t>
  </si>
  <si>
    <t xml:space="preserve">2026-02-06</t>
  </si>
  <si>
    <t xml:space="preserve">2026-02-09</t>
  </si>
  <si>
    <t xml:space="preserve">AREVALO</t>
  </si>
  <si>
    <t xml:space="preserve">ROJAS</t>
  </si>
  <si>
    <t xml:space="preserve">CARLOS</t>
  </si>
  <si>
    <t xml:space="preserve">ARIAS</t>
  </si>
  <si>
    <t xml:space="preserve">GUAYACAN</t>
  </si>
  <si>
    <t xml:space="preserve">NESTOR</t>
  </si>
  <si>
    <t xml:space="preserve">ORLANDO</t>
  </si>
  <si>
    <t xml:space="preserve">LOZANO</t>
  </si>
  <si>
    <t xml:space="preserve">CLAUDIA</t>
  </si>
  <si>
    <t xml:space="preserve">LILIANA</t>
  </si>
  <si>
    <t xml:space="preserve">MEDINA</t>
  </si>
  <si>
    <t xml:space="preserve">YAMILE</t>
  </si>
  <si>
    <t xml:space="preserve">AULAR</t>
  </si>
  <si>
    <t xml:space="preserve">CASTELLANOS</t>
  </si>
  <si>
    <t xml:space="preserve">LISETTE</t>
  </si>
  <si>
    <t xml:space="preserve">KATHERINE</t>
  </si>
  <si>
    <t xml:space="preserve">AVELLO</t>
  </si>
  <si>
    <t xml:space="preserve">JOSE</t>
  </si>
  <si>
    <t xml:space="preserve">2026-02-21</t>
  </si>
  <si>
    <t xml:space="preserve">2026-02-23</t>
  </si>
  <si>
    <t xml:space="preserve">AVILA</t>
  </si>
  <si>
    <t xml:space="preserve">REY</t>
  </si>
  <si>
    <t xml:space="preserve">NICOLAS</t>
  </si>
  <si>
    <t xml:space="preserve">BAREÑO</t>
  </si>
  <si>
    <t xml:space="preserve">WILMER</t>
  </si>
  <si>
    <t xml:space="preserve">BARRERA</t>
  </si>
  <si>
    <t xml:space="preserve">SUAREZ</t>
  </si>
  <si>
    <t xml:space="preserve">GUILLERMO</t>
  </si>
  <si>
    <t xml:space="preserve">2026-02-04</t>
  </si>
  <si>
    <t xml:space="preserve">BARRIOS</t>
  </si>
  <si>
    <t xml:space="preserve">BENAVIDES</t>
  </si>
  <si>
    <t xml:space="preserve">CARMEN</t>
  </si>
  <si>
    <t xml:space="preserve">LUCIA</t>
  </si>
  <si>
    <t xml:space="preserve">BELTRAN</t>
  </si>
  <si>
    <t xml:space="preserve">PEREZ</t>
  </si>
  <si>
    <t xml:space="preserve">SALOME</t>
  </si>
  <si>
    <t xml:space="preserve">EDICSON</t>
  </si>
  <si>
    <t xml:space="preserve">ARNETH</t>
  </si>
  <si>
    <t xml:space="preserve">BERMUDEZ</t>
  </si>
  <si>
    <t xml:space="preserve">CASTILLO</t>
  </si>
  <si>
    <t xml:space="preserve">BERNAL</t>
  </si>
  <si>
    <t xml:space="preserve">PARRA</t>
  </si>
  <si>
    <t xml:space="preserve">YENNY</t>
  </si>
  <si>
    <t xml:space="preserve">PATRICIA</t>
  </si>
  <si>
    <t xml:space="preserve">BESTEIRO</t>
  </si>
  <si>
    <t xml:space="preserve">OCHOA</t>
  </si>
  <si>
    <t xml:space="preserve">BLANCO</t>
  </si>
  <si>
    <t xml:space="preserve">LEGUIZAMON</t>
  </si>
  <si>
    <t xml:space="preserve">DIEGO</t>
  </si>
  <si>
    <t xml:space="preserve">BOLAÑOS</t>
  </si>
  <si>
    <t xml:space="preserve">ABELLO</t>
  </si>
  <si>
    <t xml:space="preserve">AURORA</t>
  </si>
  <si>
    <t xml:space="preserve">BOTERO</t>
  </si>
  <si>
    <t xml:space="preserve">RONCANCIO</t>
  </si>
  <si>
    <t xml:space="preserve">SALAZAR</t>
  </si>
  <si>
    <t xml:space="preserve">HERNANDO</t>
  </si>
  <si>
    <t xml:space="preserve">BUENO</t>
  </si>
  <si>
    <t xml:space="preserve">LOPEZ</t>
  </si>
  <si>
    <t xml:space="preserve">MARCO</t>
  </si>
  <si>
    <t xml:space="preserve">BULLA</t>
  </si>
  <si>
    <t xml:space="preserve">MARCELA</t>
  </si>
  <si>
    <t xml:space="preserve">BURBANO</t>
  </si>
  <si>
    <t xml:space="preserve">QUENAN</t>
  </si>
  <si>
    <t xml:space="preserve">JAMES</t>
  </si>
  <si>
    <t xml:space="preserve">MAURICIO</t>
  </si>
  <si>
    <t xml:space="preserve">CALDERON</t>
  </si>
  <si>
    <t xml:space="preserve">MANCHEGO</t>
  </si>
  <si>
    <t xml:space="preserve">ERNESTO</t>
  </si>
  <si>
    <t xml:space="preserve">QUEVEDO</t>
  </si>
  <si>
    <t xml:space="preserve">EVELIN</t>
  </si>
  <si>
    <t xml:space="preserve">ELISA</t>
  </si>
  <si>
    <t xml:space="preserve">CANO</t>
  </si>
  <si>
    <t xml:space="preserve">CASTRO</t>
  </si>
  <si>
    <t xml:space="preserve">JULIAN</t>
  </si>
  <si>
    <t xml:space="preserve">CANTOR</t>
  </si>
  <si>
    <t xml:space="preserve">CORTES</t>
  </si>
  <si>
    <t xml:space="preserve">CARDONA</t>
  </si>
  <si>
    <t xml:space="preserve">ENRIQUE</t>
  </si>
  <si>
    <t xml:space="preserve">CARREÑO</t>
  </si>
  <si>
    <t xml:space="preserve">GALVIS</t>
  </si>
  <si>
    <t xml:space="preserve">OSWALDO</t>
  </si>
  <si>
    <t xml:space="preserve">CARVAJAL</t>
  </si>
  <si>
    <t xml:space="preserve">USECHE</t>
  </si>
  <si>
    <t xml:space="preserve">CASAMACHIN</t>
  </si>
  <si>
    <t xml:space="preserve">IBARRA</t>
  </si>
  <si>
    <t xml:space="preserve">CASAS</t>
  </si>
  <si>
    <t xml:space="preserve">BROCHERO</t>
  </si>
  <si>
    <t xml:space="preserve">CASTAÑEDA</t>
  </si>
  <si>
    <t xml:space="preserve">CRISTANCHO</t>
  </si>
  <si>
    <t xml:space="preserve">CHRISTIAN</t>
  </si>
  <si>
    <t xml:space="preserve">FELIPE</t>
  </si>
  <si>
    <t xml:space="preserve">GARCIA</t>
  </si>
  <si>
    <t xml:space="preserve">EDGARD</t>
  </si>
  <si>
    <t xml:space="preserve">CASTAÑO</t>
  </si>
  <si>
    <t xml:space="preserve">LONDOÑO</t>
  </si>
  <si>
    <t xml:space="preserve">ANGELA</t>
  </si>
  <si>
    <t xml:space="preserve">LANCHEROS</t>
  </si>
  <si>
    <t xml:space="preserve">ANGEL</t>
  </si>
  <si>
    <t xml:space="preserve">ALBERTO</t>
  </si>
  <si>
    <t xml:space="preserve">CAVIEDES</t>
  </si>
  <si>
    <t xml:space="preserve">LUNA</t>
  </si>
  <si>
    <t xml:space="preserve">GYSELLA</t>
  </si>
  <si>
    <t xml:space="preserve">CHACON</t>
  </si>
  <si>
    <t xml:space="preserve">ACEVEDO</t>
  </si>
  <si>
    <t xml:space="preserve">PABLO</t>
  </si>
  <si>
    <t xml:space="preserve">LAURA</t>
  </si>
  <si>
    <t xml:space="preserve">CHAVEZ</t>
  </si>
  <si>
    <t xml:space="preserve">BARRANTES</t>
  </si>
  <si>
    <t xml:space="preserve">LUZ</t>
  </si>
  <si>
    <t xml:space="preserve">MARINA</t>
  </si>
  <si>
    <t xml:space="preserve">CHING</t>
  </si>
  <si>
    <t xml:space="preserve">GAIN</t>
  </si>
  <si>
    <t xml:space="preserve">CLAVIJO</t>
  </si>
  <si>
    <t xml:space="preserve">OSORIO</t>
  </si>
  <si>
    <t xml:space="preserve">EDUARDO</t>
  </si>
  <si>
    <t xml:space="preserve">CONSTAIN</t>
  </si>
  <si>
    <t xml:space="preserve">DAZA</t>
  </si>
  <si>
    <t xml:space="preserve">ALEXANDER</t>
  </si>
  <si>
    <t xml:space="preserve">CORREA</t>
  </si>
  <si>
    <t xml:space="preserve">MIRANDA</t>
  </si>
  <si>
    <t xml:space="preserve">INGRID</t>
  </si>
  <si>
    <t xml:space="preserve">CAROLINA</t>
  </si>
  <si>
    <t xml:space="preserve">CUESTAS</t>
  </si>
  <si>
    <t xml:space="preserve">IBAÑEZ</t>
  </si>
  <si>
    <t xml:space="preserve">LEON</t>
  </si>
  <si>
    <t xml:space="preserve">MELISSA</t>
  </si>
  <si>
    <t xml:space="preserve">TIBOCHA</t>
  </si>
  <si>
    <t xml:space="preserve">WILMAR</t>
  </si>
  <si>
    <t xml:space="preserve">DIAZ</t>
  </si>
  <si>
    <t xml:space="preserve">ESPITIA</t>
  </si>
  <si>
    <t xml:space="preserve">DOVAL</t>
  </si>
  <si>
    <t xml:space="preserve">BORIS</t>
  </si>
  <si>
    <t xml:space="preserve">DURAN</t>
  </si>
  <si>
    <t xml:space="preserve">RUIZ</t>
  </si>
  <si>
    <t xml:space="preserve">MAGDA</t>
  </si>
  <si>
    <t xml:space="preserve">CRISTINA</t>
  </si>
  <si>
    <t xml:space="preserve">ECHAVARRIA</t>
  </si>
  <si>
    <t xml:space="preserve">EPALZA</t>
  </si>
  <si>
    <t xml:space="preserve">GONZALEZ</t>
  </si>
  <si>
    <t xml:space="preserve">JHON</t>
  </si>
  <si>
    <t xml:space="preserve">ESPEJO</t>
  </si>
  <si>
    <t xml:space="preserve">SASA</t>
  </si>
  <si>
    <t xml:space="preserve">ESPINEL</t>
  </si>
  <si>
    <t xml:space="preserve">ZULUAGA</t>
  </si>
  <si>
    <t xml:space="preserve">SANDRA</t>
  </si>
  <si>
    <t xml:space="preserve">MILENA</t>
  </si>
  <si>
    <t xml:space="preserve">FALCON</t>
  </si>
  <si>
    <t xml:space="preserve">MILLER</t>
  </si>
  <si>
    <t xml:space="preserve">GABRIEL</t>
  </si>
  <si>
    <t xml:space="preserve">FRANCISCO</t>
  </si>
  <si>
    <t xml:space="preserve">EDSON</t>
  </si>
  <si>
    <t xml:space="preserve">ROMARIO</t>
  </si>
  <si>
    <t xml:space="preserve">2026-02-24</t>
  </si>
  <si>
    <t xml:space="preserve">2026-02-11</t>
  </si>
  <si>
    <t xml:space="preserve">2026-02-17</t>
  </si>
  <si>
    <t xml:space="preserve">2026-02-12</t>
  </si>
  <si>
    <t xml:space="preserve">MOLANO</t>
  </si>
  <si>
    <t xml:space="preserve">STIVEN</t>
  </si>
  <si>
    <t xml:space="preserve">FORERO</t>
  </si>
  <si>
    <t xml:space="preserve">MARYORI</t>
  </si>
  <si>
    <t xml:space="preserve">ZORRO</t>
  </si>
  <si>
    <t xml:space="preserve">CINDY</t>
  </si>
  <si>
    <t xml:space="preserve">LORENA</t>
  </si>
  <si>
    <t xml:space="preserve">FUENTES</t>
  </si>
  <si>
    <t xml:space="preserve">ROBAYO</t>
  </si>
  <si>
    <t xml:space="preserve">FREDDY</t>
  </si>
  <si>
    <t xml:space="preserve">ALFONSO</t>
  </si>
  <si>
    <t xml:space="preserve">LETTY</t>
  </si>
  <si>
    <t xml:space="preserve">YISEL</t>
  </si>
  <si>
    <t xml:space="preserve">GOMEZ</t>
  </si>
  <si>
    <t xml:space="preserve">VELASQUEZ</t>
  </si>
  <si>
    <t xml:space="preserve">SANTIAGO</t>
  </si>
  <si>
    <t xml:space="preserve">ZAPATEIRO</t>
  </si>
  <si>
    <t xml:space="preserve">LUISA</t>
  </si>
  <si>
    <t xml:space="preserve">FERNANDA</t>
  </si>
  <si>
    <t xml:space="preserve">ROZO</t>
  </si>
  <si>
    <t xml:space="preserve">SERGIO</t>
  </si>
  <si>
    <t xml:space="preserve">WILBERTH</t>
  </si>
  <si>
    <t xml:space="preserve">GORDILLO</t>
  </si>
  <si>
    <t xml:space="preserve">GUALTEROS</t>
  </si>
  <si>
    <t xml:space="preserve">SOSA</t>
  </si>
  <si>
    <t xml:space="preserve">JEFFERSON</t>
  </si>
  <si>
    <t xml:space="preserve">GUEVARA</t>
  </si>
  <si>
    <t xml:space="preserve">SEQUERA</t>
  </si>
  <si>
    <t xml:space="preserve">ROLANDO</t>
  </si>
  <si>
    <t xml:space="preserve">CASALLAS</t>
  </si>
  <si>
    <t xml:space="preserve">GARNICA</t>
  </si>
  <si>
    <t xml:space="preserve">QUITIAN</t>
  </si>
  <si>
    <t xml:space="preserve">RONAL</t>
  </si>
  <si>
    <t xml:space="preserve">YESID</t>
  </si>
  <si>
    <t xml:space="preserve">HENAO</t>
  </si>
  <si>
    <t xml:space="preserve">PINTO</t>
  </si>
  <si>
    <t xml:space="preserve">CRISTIAN</t>
  </si>
  <si>
    <t xml:space="preserve">HERNANDEZ</t>
  </si>
  <si>
    <t xml:space="preserve">HERRERA</t>
  </si>
  <si>
    <t xml:space="preserve">IZQUIERDO</t>
  </si>
  <si>
    <t xml:space="preserve">MORENO</t>
  </si>
  <si>
    <t xml:space="preserve">JAUREGUI</t>
  </si>
  <si>
    <t xml:space="preserve">PACHECO</t>
  </si>
  <si>
    <t xml:space="preserve">DUBIAN</t>
  </si>
  <si>
    <t xml:space="preserve">YAMID</t>
  </si>
  <si>
    <t xml:space="preserve">JIMENEZ</t>
  </si>
  <si>
    <t xml:space="preserve">JIMENO</t>
  </si>
  <si>
    <t xml:space="preserve">LEAL</t>
  </si>
  <si>
    <t xml:space="preserve">MATIZ</t>
  </si>
  <si>
    <t xml:space="preserve">LIZCANO</t>
  </si>
  <si>
    <t xml:space="preserve">ELEJALDE</t>
  </si>
  <si>
    <t xml:space="preserve">LADY</t>
  </si>
  <si>
    <t xml:space="preserve">JOHANNA</t>
  </si>
  <si>
    <t xml:space="preserve">PALACIO</t>
  </si>
  <si>
    <t xml:space="preserve">SEBASTIAN</t>
  </si>
  <si>
    <t xml:space="preserve">LUQUE</t>
  </si>
  <si>
    <t xml:space="preserve">MANRIQUE</t>
  </si>
  <si>
    <t xml:space="preserve">KELY</t>
  </si>
  <si>
    <t xml:space="preserve">MOGOLLON</t>
  </si>
  <si>
    <t xml:space="preserve">ADRIANA</t>
  </si>
  <si>
    <t xml:space="preserve">JHOAN</t>
  </si>
  <si>
    <t xml:space="preserve">MANUEL</t>
  </si>
  <si>
    <t xml:space="preserve">MAYA</t>
  </si>
  <si>
    <t xml:space="preserve">QUINTERO</t>
  </si>
  <si>
    <t xml:space="preserve">MEJIA</t>
  </si>
  <si>
    <t xml:space="preserve">BASTIDAS</t>
  </si>
  <si>
    <t xml:space="preserve">MENESES</t>
  </si>
  <si>
    <t xml:space="preserve">MESA</t>
  </si>
  <si>
    <t xml:space="preserve">MITROSBARAS</t>
  </si>
  <si>
    <t xml:space="preserve">VARGAS</t>
  </si>
  <si>
    <t xml:space="preserve">COSTANTINO</t>
  </si>
  <si>
    <t xml:space="preserve">MOLINA</t>
  </si>
  <si>
    <t xml:space="preserve">JUNCO</t>
  </si>
  <si>
    <t xml:space="preserve">HUGO</t>
  </si>
  <si>
    <t xml:space="preserve">MELO</t>
  </si>
  <si>
    <t xml:space="preserve">PRIETO</t>
  </si>
  <si>
    <t xml:space="preserve">MUÑOZ</t>
  </si>
  <si>
    <t xml:space="preserve">MURILLO</t>
  </si>
  <si>
    <t xml:space="preserve">OBANDO</t>
  </si>
  <si>
    <t xml:space="preserve">CRYSTIAM</t>
  </si>
  <si>
    <t xml:space="preserve">OROZCO</t>
  </si>
  <si>
    <t xml:space="preserve">RAMIREZ</t>
  </si>
  <si>
    <t xml:space="preserve">PAEZ</t>
  </si>
  <si>
    <t xml:space="preserve">GUZMAN</t>
  </si>
  <si>
    <t xml:space="preserve">GUSTAVO</t>
  </si>
  <si>
    <t xml:space="preserve">SANJONELO</t>
  </si>
  <si>
    <t xml:space="preserve">BETTY</t>
  </si>
  <si>
    <t xml:space="preserve">PAJON</t>
  </si>
  <si>
    <t xml:space="preserve">NATALY</t>
  </si>
  <si>
    <t xml:space="preserve">PARADA</t>
  </si>
  <si>
    <t xml:space="preserve">SANTOS</t>
  </si>
  <si>
    <t xml:space="preserve">GERARDO</t>
  </si>
  <si>
    <t xml:space="preserve">PARRADO</t>
  </si>
  <si>
    <t xml:space="preserve">GERLY</t>
  </si>
  <si>
    <t xml:space="preserve">YULIETH</t>
  </si>
  <si>
    <t xml:space="preserve">PATERNINA</t>
  </si>
  <si>
    <t xml:space="preserve">ALTAMAR</t>
  </si>
  <si>
    <t xml:space="preserve">SAMUEL</t>
  </si>
  <si>
    <t xml:space="preserve">PAZ</t>
  </si>
  <si>
    <t xml:space="preserve">PETIT</t>
  </si>
  <si>
    <t xml:space="preserve">PEDRAZA</t>
  </si>
  <si>
    <t xml:space="preserve">CARDENAS</t>
  </si>
  <si>
    <t xml:space="preserve">PEÑA</t>
  </si>
  <si>
    <t xml:space="preserve">ERIKA</t>
  </si>
  <si>
    <t xml:space="preserve">YOLIMA</t>
  </si>
  <si>
    <t xml:space="preserve">PEÑARANDA</t>
  </si>
  <si>
    <t xml:space="preserve">CHIA</t>
  </si>
  <si>
    <t xml:space="preserve">PIEDRAHITA</t>
  </si>
  <si>
    <t xml:space="preserve">VELEZ</t>
  </si>
  <si>
    <t xml:space="preserve">PINZON</t>
  </si>
  <si>
    <t xml:space="preserve">MOTTA</t>
  </si>
  <si>
    <t xml:space="preserve">FABIAN</t>
  </si>
  <si>
    <t xml:space="preserve">STEVEN</t>
  </si>
  <si>
    <t xml:space="preserve">POLO</t>
  </si>
  <si>
    <t xml:space="preserve">SORAIMA</t>
  </si>
  <si>
    <t xml:space="preserve">SELENE</t>
  </si>
  <si>
    <t xml:space="preserve">PORTILLA</t>
  </si>
  <si>
    <t xml:space="preserve">NICOLE</t>
  </si>
  <si>
    <t xml:space="preserve">BEATRIZ</t>
  </si>
  <si>
    <t xml:space="preserve">FONSECA</t>
  </si>
  <si>
    <t xml:space="preserve">WILSON</t>
  </si>
  <si>
    <t xml:space="preserve">ROMERO</t>
  </si>
  <si>
    <t xml:space="preserve">DALMA</t>
  </si>
  <si>
    <t xml:space="preserve">GISELA</t>
  </si>
  <si>
    <t xml:space="preserve">PULIDO</t>
  </si>
  <si>
    <t xml:space="preserve">DANIELA</t>
  </si>
  <si>
    <t xml:space="preserve">ALEJANDRA</t>
  </si>
  <si>
    <t xml:space="preserve">JUVENAL</t>
  </si>
  <si>
    <t xml:space="preserve">HUMBERTO</t>
  </si>
  <si>
    <t xml:space="preserve">REYES</t>
  </si>
  <si>
    <t xml:space="preserve">BRENDA</t>
  </si>
  <si>
    <t xml:space="preserve">CATHERINE</t>
  </si>
  <si>
    <t xml:space="preserve">RICO</t>
  </si>
  <si>
    <t xml:space="preserve">TURCA</t>
  </si>
  <si>
    <t xml:space="preserve">MICHAEL</t>
  </si>
  <si>
    <t xml:space="preserve">RIFFO</t>
  </si>
  <si>
    <t xml:space="preserve">TINEO</t>
  </si>
  <si>
    <t xml:space="preserve">BRIAN</t>
  </si>
  <si>
    <t xml:space="preserve">GERALD</t>
  </si>
  <si>
    <t xml:space="preserve">CAICEDO</t>
  </si>
  <si>
    <t xml:space="preserve">GARZON</t>
  </si>
  <si>
    <t xml:space="preserve">DIANA</t>
  </si>
  <si>
    <t xml:space="preserve">YOMARA</t>
  </si>
  <si>
    <t xml:space="preserve">RIVADENEIRA</t>
  </si>
  <si>
    <t xml:space="preserve">JORGE</t>
  </si>
  <si>
    <t xml:space="preserve">RIVERA</t>
  </si>
  <si>
    <t xml:space="preserve">BUSTOS</t>
  </si>
  <si>
    <t xml:space="preserve">CRUZ</t>
  </si>
  <si>
    <t xml:space="preserve">EDITH</t>
  </si>
  <si>
    <t xml:space="preserve">JULIETA</t>
  </si>
  <si>
    <t xml:space="preserve">ANDREY</t>
  </si>
  <si>
    <t xml:space="preserve">SANCHEZ</t>
  </si>
  <si>
    <t xml:space="preserve">ANGELICA</t>
  </si>
  <si>
    <t xml:space="preserve">RUBIANO</t>
  </si>
  <si>
    <t xml:space="preserve">MATEO</t>
  </si>
  <si>
    <t xml:space="preserve">ROSALES</t>
  </si>
  <si>
    <t xml:space="preserve">VICTOR</t>
  </si>
  <si>
    <t xml:space="preserve">SAAVEDRA</t>
  </si>
  <si>
    <t xml:space="preserve">RAMOS</t>
  </si>
  <si>
    <t xml:space="preserve">MARCOS</t>
  </si>
  <si>
    <t xml:space="preserve">AURELIO</t>
  </si>
  <si>
    <t xml:space="preserve">SAENZ</t>
  </si>
  <si>
    <t xml:space="preserve">LISETH</t>
  </si>
  <si>
    <t xml:space="preserve">MENDOZA</t>
  </si>
  <si>
    <t xml:space="preserve">SOFIA</t>
  </si>
  <si>
    <t xml:space="preserve">NAJHELY</t>
  </si>
  <si>
    <t xml:space="preserve">BRAYAN</t>
  </si>
  <si>
    <t xml:space="preserve">Dependiente - Dependiente pensionado activo</t>
  </si>
  <si>
    <t xml:space="preserve">TEJADA</t>
  </si>
  <si>
    <t xml:space="preserve">SANTANA</t>
  </si>
  <si>
    <t xml:space="preserve">SALGADO</t>
  </si>
  <si>
    <t xml:space="preserve">SARMIENTO</t>
  </si>
  <si>
    <t xml:space="preserve">CIFUENTES</t>
  </si>
  <si>
    <t xml:space="preserve">LILI</t>
  </si>
  <si>
    <t xml:space="preserve">SEGURA</t>
  </si>
  <si>
    <t xml:space="preserve">FRANCOIS</t>
  </si>
  <si>
    <t xml:space="preserve">ALBERT</t>
  </si>
  <si>
    <t xml:space="preserve">STRAUCH</t>
  </si>
  <si>
    <t xml:space="preserve">STEPHANY</t>
  </si>
  <si>
    <t xml:space="preserve">OMAR</t>
  </si>
  <si>
    <t xml:space="preserve">TACORONTE</t>
  </si>
  <si>
    <t xml:space="preserve">RIVERO</t>
  </si>
  <si>
    <t xml:space="preserve">TERAN</t>
  </si>
  <si>
    <t xml:space="preserve">ISABEL</t>
  </si>
  <si>
    <t xml:space="preserve">PEINADO</t>
  </si>
  <si>
    <t xml:space="preserve">JOHN</t>
  </si>
  <si>
    <t xml:space="preserve">HENRY</t>
  </si>
  <si>
    <t xml:space="preserve">ARTURO</t>
  </si>
  <si>
    <t xml:space="preserve">JAIRO</t>
  </si>
  <si>
    <t xml:space="preserve">TOUS</t>
  </si>
  <si>
    <t xml:space="preserve">FERMIN</t>
  </si>
  <si>
    <t xml:space="preserve">TRIANA</t>
  </si>
  <si>
    <t xml:space="preserve">FARFAN</t>
  </si>
  <si>
    <t xml:space="preserve">RODRIGO</t>
  </si>
  <si>
    <t xml:space="preserve">URIBE</t>
  </si>
  <si>
    <t xml:space="preserve">URUEÑA</t>
  </si>
  <si>
    <t xml:space="preserve">VELASCO</t>
  </si>
  <si>
    <t xml:space="preserve">AGUILAR</t>
  </si>
  <si>
    <t xml:space="preserve">SYNDI</t>
  </si>
  <si>
    <t xml:space="preserve">EDY</t>
  </si>
  <si>
    <t xml:space="preserve">ALEXY</t>
  </si>
  <si>
    <t xml:space="preserve">VERA</t>
  </si>
  <si>
    <t xml:space="preserve">PAREDES</t>
  </si>
  <si>
    <t xml:space="preserve">GINA</t>
  </si>
  <si>
    <t xml:space="preserve">SARRIA</t>
  </si>
  <si>
    <t xml:space="preserve">NATALIA</t>
  </si>
  <si>
    <t xml:space="preserve">VIVAS</t>
  </si>
  <si>
    <t xml:space="preserve">JOAQUIN</t>
  </si>
  <si>
    <t xml:space="preserve">YUSEF</t>
  </si>
  <si>
    <t xml:space="preserve">EBTISAM</t>
  </si>
  <si>
    <t xml:space="preserve">MESADA</t>
  </si>
  <si>
    <t xml:space="preserve">ZAMBRANO</t>
  </si>
  <si>
    <t xml:space="preserve">ZARATE</t>
  </si>
  <si>
    <t xml:space="preserve">TULIO</t>
  </si>
  <si>
    <t xml:space="preserve">ZURITA</t>
  </si>
  <si>
    <t xml:space="preserve">JEICSON</t>
  </si>
  <si>
    <t xml:space="preserve">ANGARITA</t>
  </si>
  <si>
    <t xml:space="preserve">PERTUZ</t>
  </si>
  <si>
    <t xml:space="preserve">JAVIER</t>
  </si>
  <si>
    <t xml:space="preserve">ERLEY</t>
  </si>
  <si>
    <t xml:space="preserve">LOBO</t>
  </si>
  <si>
    <t xml:space="preserve">ALVARO</t>
  </si>
  <si>
    <t xml:space="preserve">OSSA</t>
  </si>
  <si>
    <t xml:space="preserve">MEZA</t>
  </si>
  <si>
    <t xml:space="preserve">GRIMALDO</t>
  </si>
  <si>
    <t xml:space="preserve">COMFANDI</t>
  </si>
  <si>
    <t xml:space="preserve">BOHORQUEZ</t>
  </si>
  <si>
    <t xml:space="preserve">MENDEZ</t>
  </si>
  <si>
    <t xml:space="preserve">AGUIRRE</t>
  </si>
  <si>
    <t xml:space="preserve">MELQUI</t>
  </si>
  <si>
    <t xml:space="preserve">JAIR</t>
  </si>
  <si>
    <t xml:space="preserve">BETANCOURTH</t>
  </si>
  <si>
    <t xml:space="preserve">TABORDA</t>
  </si>
  <si>
    <t xml:space="preserve">ALEXANDRA</t>
  </si>
  <si>
    <t xml:space="preserve">SANTOFIMIO</t>
  </si>
  <si>
    <t xml:space="preserve">ILLERA</t>
  </si>
  <si>
    <t xml:space="preserve">ANTHONY</t>
  </si>
  <si>
    <t xml:space="preserve">NARVAEZ</t>
  </si>
  <si>
    <t xml:space="preserve">EDGARDO</t>
  </si>
  <si>
    <t xml:space="preserve">NUÑEZ</t>
  </si>
  <si>
    <t xml:space="preserve">CONCHA</t>
  </si>
  <si>
    <t xml:space="preserve">CRISTHIAN</t>
  </si>
  <si>
    <t xml:space="preserve">STEVEEN</t>
  </si>
  <si>
    <t xml:space="preserve">SANTACRUZ</t>
  </si>
  <si>
    <t xml:space="preserve">AHUMADA</t>
  </si>
  <si>
    <t xml:space="preserve">ANCIZAR</t>
  </si>
  <si>
    <t xml:space="preserve">VALDERRAMA</t>
  </si>
  <si>
    <t xml:space="preserve">TATIANA</t>
  </si>
  <si>
    <t xml:space="preserve">ADOLFO</t>
  </si>
  <si>
    <t xml:space="preserve">AGUAS</t>
  </si>
  <si>
    <t xml:space="preserve">LILLY</t>
  </si>
  <si>
    <t xml:space="preserve">VALESKA</t>
  </si>
  <si>
    <t xml:space="preserve">EDISSON</t>
  </si>
  <si>
    <t xml:space="preserve">AUGUSTO</t>
  </si>
  <si>
    <t xml:space="preserve">GEBERT</t>
  </si>
  <si>
    <t xml:space="preserve">NATHALY</t>
  </si>
  <si>
    <t xml:space="preserve">ELIZABETH</t>
  </si>
  <si>
    <t xml:space="preserve">COMFANORTE</t>
  </si>
  <si>
    <t xml:space="preserve">ASENSIO</t>
  </si>
  <si>
    <t xml:space="preserve">JONATHAN</t>
  </si>
  <si>
    <t xml:space="preserve">NORTE DE SANTANDER</t>
  </si>
  <si>
    <t xml:space="preserve">CARMONA</t>
  </si>
  <si>
    <t xml:space="preserve">DUQUE</t>
  </si>
  <si>
    <t xml:space="preserve">COMFENALCO TOLIMA</t>
  </si>
  <si>
    <t xml:space="preserve">USUGA</t>
  </si>
  <si>
    <t xml:space="preserve">SIRLEY</t>
  </si>
  <si>
    <t xml:space="preserve">JOHANA</t>
  </si>
  <si>
    <t xml:space="preserve">DURANGO</t>
  </si>
  <si>
    <t xml:space="preserve">MAYRA</t>
  </si>
  <si>
    <t xml:space="preserve">CONFAMILIARES</t>
  </si>
  <si>
    <t xml:space="preserve">ARBOLEDA</t>
  </si>
  <si>
    <t xml:space="preserve">BETANCUR</t>
  </si>
  <si>
    <t xml:space="preserve">BAUTISTA</t>
  </si>
  <si>
    <t xml:space="preserve">WILCHES</t>
  </si>
  <si>
    <t xml:space="preserve">KEVIN</t>
  </si>
  <si>
    <t xml:space="preserve">TABARES</t>
  </si>
  <si>
    <t xml:space="preserve">EDISON</t>
  </si>
  <si>
    <t xml:space="preserve">ALBAN</t>
  </si>
  <si>
    <t xml:space="preserve">NIETO</t>
  </si>
  <si>
    <t xml:space="preserve">BRYAN</t>
  </si>
  <si>
    <t xml:space="preserve">ALZATE</t>
  </si>
  <si>
    <t xml:space="preserve">ARCILA</t>
  </si>
  <si>
    <t xml:space="preserve">SAUL</t>
  </si>
  <si>
    <t xml:space="preserve">EFREN</t>
  </si>
  <si>
    <t xml:space="preserve">2026-02-14</t>
  </si>
  <si>
    <t xml:space="preserve">HIGUITA</t>
  </si>
  <si>
    <t xml:space="preserve">CASTRILLON</t>
  </si>
  <si>
    <t xml:space="preserve">ARRIETA</t>
  </si>
  <si>
    <t xml:space="preserve">ZORRILLA</t>
  </si>
  <si>
    <t xml:space="preserve">MAIRON</t>
  </si>
  <si>
    <t xml:space="preserve">DYLAN</t>
  </si>
  <si>
    <t xml:space="preserve">BAENA</t>
  </si>
  <si>
    <t xml:space="preserve">BEDOYA</t>
  </si>
  <si>
    <t xml:space="preserve">DE</t>
  </si>
  <si>
    <t xml:space="preserve">LA</t>
  </si>
  <si>
    <t xml:space="preserve">PAVA</t>
  </si>
  <si>
    <t xml:space="preserve">CACERES</t>
  </si>
  <si>
    <t xml:space="preserve">GRANADOS</t>
  </si>
  <si>
    <t xml:space="preserve">IDARRAGA</t>
  </si>
  <si>
    <t xml:space="preserve">TITO</t>
  </si>
  <si>
    <t xml:space="preserve">CAMPO</t>
  </si>
  <si>
    <t xml:space="preserve">YEINIS</t>
  </si>
  <si>
    <t xml:space="preserve">ECHEVERRI</t>
  </si>
  <si>
    <t xml:space="preserve">CARO</t>
  </si>
  <si>
    <t xml:space="preserve">WALTER</t>
  </si>
  <si>
    <t xml:space="preserve">DAVIDSON</t>
  </si>
  <si>
    <t xml:space="preserve">CARRASQUEL</t>
  </si>
  <si>
    <t xml:space="preserve">RONNY</t>
  </si>
  <si>
    <t xml:space="preserve">CARRASQUILLA</t>
  </si>
  <si>
    <t xml:space="preserve">CEBALLOS</t>
  </si>
  <si>
    <t xml:space="preserve">KELLY</t>
  </si>
  <si>
    <t xml:space="preserve">NASYARY</t>
  </si>
  <si>
    <t xml:space="preserve">MONTOYA</t>
  </si>
  <si>
    <t xml:space="preserve">CLAROS</t>
  </si>
  <si>
    <t xml:space="preserve">COOPER</t>
  </si>
  <si>
    <t xml:space="preserve">WILLIAM</t>
  </si>
  <si>
    <t xml:space="preserve">SALTARIN</t>
  </si>
  <si>
    <t xml:space="preserve">ERWIN</t>
  </si>
  <si>
    <t xml:space="preserve">JOHAN</t>
  </si>
  <si>
    <t xml:space="preserve">PRADA</t>
  </si>
  <si>
    <t xml:space="preserve">SULMAR</t>
  </si>
  <si>
    <t xml:space="preserve">HOYOS</t>
  </si>
  <si>
    <t xml:space="preserve">FLOREZ</t>
  </si>
  <si>
    <t xml:space="preserve">JHONY</t>
  </si>
  <si>
    <t xml:space="preserve">GIAMPAOLO</t>
  </si>
  <si>
    <t xml:space="preserve">JHONNY</t>
  </si>
  <si>
    <t xml:space="preserve">DONATO</t>
  </si>
  <si>
    <t xml:space="preserve">YERMINSON</t>
  </si>
  <si>
    <t xml:space="preserve">DONEY</t>
  </si>
  <si>
    <t xml:space="preserve">OTERO</t>
  </si>
  <si>
    <t xml:space="preserve">HINCAPIE</t>
  </si>
  <si>
    <t xml:space="preserve">2026-02-05</t>
  </si>
  <si>
    <t xml:space="preserve">ARICAPA</t>
  </si>
  <si>
    <t xml:space="preserve">BRAHYAN</t>
  </si>
  <si>
    <t xml:space="preserve">YENY</t>
  </si>
  <si>
    <t xml:space="preserve">STEFFANY</t>
  </si>
  <si>
    <t xml:space="preserve">LUJAN</t>
  </si>
  <si>
    <t xml:space="preserve">LINA</t>
  </si>
  <si>
    <t xml:space="preserve">VALDEZ</t>
  </si>
  <si>
    <t xml:space="preserve">GIOVANNY</t>
  </si>
  <si>
    <t xml:space="preserve">ADEL</t>
  </si>
  <si>
    <t xml:space="preserve">MENA</t>
  </si>
  <si>
    <t xml:space="preserve">CATALINA</t>
  </si>
  <si>
    <t xml:space="preserve">PAUL</t>
  </si>
  <si>
    <t xml:space="preserve">ESTRADA</t>
  </si>
  <si>
    <t xml:space="preserve">2026-02-19</t>
  </si>
  <si>
    <t xml:space="preserve">MONSALVE</t>
  </si>
  <si>
    <t xml:space="preserve">BRANDO</t>
  </si>
  <si>
    <t xml:space="preserve">LINARES</t>
  </si>
  <si>
    <t xml:space="preserve">JHOANA</t>
  </si>
  <si>
    <t xml:space="preserve">JUSTINA</t>
  </si>
  <si>
    <t xml:space="preserve">OLIVELLA</t>
  </si>
  <si>
    <t xml:space="preserve">PARDO</t>
  </si>
  <si>
    <t xml:space="preserve">MONROY</t>
  </si>
  <si>
    <t xml:space="preserve">GLORIA</t>
  </si>
  <si>
    <t xml:space="preserve">CECILIA</t>
  </si>
  <si>
    <t xml:space="preserve">OSPINA</t>
  </si>
  <si>
    <t xml:space="preserve">VERGARA</t>
  </si>
  <si>
    <t xml:space="preserve">DEISY</t>
  </si>
  <si>
    <t xml:space="preserve">OSSIO</t>
  </si>
  <si>
    <t xml:space="preserve">KATHERIN</t>
  </si>
  <si>
    <t xml:space="preserve">JULIET</t>
  </si>
  <si>
    <t xml:space="preserve">PUERTA</t>
  </si>
  <si>
    <t xml:space="preserve">QUICENO</t>
  </si>
  <si>
    <t xml:space="preserve">GIRALDO</t>
  </si>
  <si>
    <t xml:space="preserve">JHONATAN</t>
  </si>
  <si>
    <t xml:space="preserve">COLORADO</t>
  </si>
  <si>
    <t xml:space="preserve">DINA</t>
  </si>
  <si>
    <t xml:space="preserve">MARIBEL</t>
  </si>
  <si>
    <t xml:space="preserve">QUIÑONES</t>
  </si>
  <si>
    <t xml:space="preserve">RIOS</t>
  </si>
  <si>
    <t xml:space="preserve">SUSANA</t>
  </si>
  <si>
    <t xml:space="preserve">VANESSA</t>
  </si>
  <si>
    <t xml:space="preserve">ROLDAN</t>
  </si>
  <si>
    <t xml:space="preserve">GIRON</t>
  </si>
  <si>
    <t xml:space="preserve">SALDARRIAGA</t>
  </si>
  <si>
    <t xml:space="preserve">ZAPATA</t>
  </si>
  <si>
    <t xml:space="preserve">AVILEZ</t>
  </si>
  <si>
    <t xml:space="preserve">FRANCO</t>
  </si>
  <si>
    <t xml:space="preserve">CATERINE</t>
  </si>
  <si>
    <t xml:space="preserve">VILLEGAS</t>
  </si>
  <si>
    <t xml:space="preserve">CLARA</t>
  </si>
  <si>
    <t xml:space="preserve">SERNA</t>
  </si>
  <si>
    <t xml:space="preserve">SIERRA</t>
  </si>
  <si>
    <t xml:space="preserve">ARENAS</t>
  </si>
  <si>
    <t xml:space="preserve">JHOJASI</t>
  </si>
  <si>
    <t xml:space="preserve">STIVENSON</t>
  </si>
  <si>
    <t xml:space="preserve">SILVA</t>
  </si>
  <si>
    <t xml:space="preserve">SOTO</t>
  </si>
  <si>
    <t xml:space="preserve">LEIDY</t>
  </si>
  <si>
    <t xml:space="preserve">TOVAR</t>
  </si>
  <si>
    <t xml:space="preserve">FREIRE</t>
  </si>
  <si>
    <t xml:space="preserve">MIGUEL</t>
  </si>
  <si>
    <t xml:space="preserve">TRUJILLO</t>
  </si>
  <si>
    <t xml:space="preserve">AMAYA</t>
  </si>
  <si>
    <t xml:space="preserve">TUA</t>
  </si>
  <si>
    <t xml:space="preserve">ESPERANZA</t>
  </si>
  <si>
    <t xml:space="preserve">VALENZUELA</t>
  </si>
  <si>
    <t xml:space="preserve">DARIO</t>
  </si>
  <si>
    <t xml:space="preserve">TUBERQUIA</t>
  </si>
  <si>
    <t xml:space="preserve">IVAN</t>
  </si>
  <si>
    <t xml:space="preserve">LARIOS</t>
  </si>
  <si>
    <t xml:space="preserve">SHELLY</t>
  </si>
  <si>
    <t xml:space="preserve">MAYID</t>
  </si>
  <si>
    <t xml:space="preserve">VEGA</t>
  </si>
  <si>
    <t xml:space="preserve">CORTINEZ</t>
  </si>
  <si>
    <t xml:space="preserve">PINEDA</t>
  </si>
  <si>
    <t xml:space="preserve">COMFACOR</t>
  </si>
  <si>
    <t xml:space="preserve">URREGO</t>
  </si>
  <si>
    <t xml:space="preserve">NIXON</t>
  </si>
  <si>
    <t xml:space="preserve">CAMPOS</t>
  </si>
  <si>
    <t xml:space="preserve">QUESADA</t>
  </si>
  <si>
    <t xml:space="preserve">COMFAMILIAR HUILA</t>
  </si>
  <si>
    <t xml:space="preserve">ANGI</t>
  </si>
  <si>
    <t xml:space="preserve">CAMILA</t>
  </si>
  <si>
    <t xml:space="preserve">TELLO</t>
  </si>
  <si>
    <t xml:space="preserve">BAHAMON</t>
  </si>
  <si>
    <t xml:space="preserve">MC</t>
  </si>
  <si>
    <t xml:space="preserve">NISH</t>
  </si>
  <si>
    <t xml:space="preserve">FAJARDO</t>
  </si>
  <si>
    <t xml:space="preserve">COMFAMILIAR GUAJIRA</t>
  </si>
  <si>
    <t xml:space="preserve">SARDOTH</t>
  </si>
  <si>
    <t xml:space="preserve">EVER</t>
  </si>
  <si>
    <t xml:space="preserve">JUNIOR</t>
  </si>
  <si>
    <t xml:space="preserve">LA GUAJIRA</t>
  </si>
  <si>
    <t xml:space="preserve">EUSSE</t>
  </si>
  <si>
    <t xml:space="preserve">CAJAMAG</t>
  </si>
  <si>
    <t xml:space="preserve">CADAVID</t>
  </si>
  <si>
    <t xml:space="preserve">PASCUALES</t>
  </si>
  <si>
    <t xml:space="preserve">ALBARRACIN</t>
  </si>
  <si>
    <t xml:space="preserve">BUITRAGO</t>
  </si>
  <si>
    <t xml:space="preserve">ESCOBAR</t>
  </si>
  <si>
    <t xml:space="preserve">DAYRON</t>
  </si>
  <si>
    <t xml:space="preserve">GRAJALES</t>
  </si>
  <si>
    <t xml:space="preserve">ANDERSON</t>
  </si>
  <si>
    <t xml:space="preserve">HIDALGO</t>
  </si>
  <si>
    <t xml:space="preserve">ESNEIDER</t>
  </si>
  <si>
    <t xml:space="preserve">AREIZA</t>
  </si>
  <si>
    <t xml:space="preserve">POSADA</t>
  </si>
  <si>
    <t xml:space="preserve">MONCADA</t>
  </si>
  <si>
    <t xml:space="preserve">FREDY</t>
  </si>
  <si>
    <t xml:space="preserve">GONZALO</t>
  </si>
  <si>
    <t xml:space="preserve">HOLGUIN</t>
  </si>
  <si>
    <t xml:space="preserve">GONGORA</t>
  </si>
  <si>
    <t xml:space="preserve">LADINO</t>
  </si>
  <si>
    <t xml:space="preserve">JHOLBERT</t>
  </si>
  <si>
    <t xml:space="preserve">GEOVANNY</t>
  </si>
  <si>
    <t xml:space="preserve">CORREDOR</t>
  </si>
  <si>
    <t xml:space="preserve">GARRIDO</t>
  </si>
  <si>
    <t xml:space="preserve">MARULANDA</t>
  </si>
  <si>
    <t xml:space="preserve">20031311</t>
  </si>
  <si>
    <t xml:space="preserve">Fondo de Solidaridad</t>
  </si>
  <si>
    <t xml:space="preserve">20032632</t>
  </si>
  <si>
    <t xml:space="preserve">20032638</t>
  </si>
  <si>
    <t xml:space="preserve">20032640</t>
  </si>
  <si>
    <t xml:space="preserve">20032652</t>
  </si>
  <si>
    <t xml:space="preserve">Salario..</t>
  </si>
  <si>
    <t xml:space="preserve">Inc. Enfermedad Comun Asumida</t>
  </si>
  <si>
    <t xml:space="preserve">20039921</t>
  </si>
  <si>
    <t xml:space="preserve">20042066</t>
  </si>
  <si>
    <t xml:space="preserve">Inc. por Enfermedad Comun</t>
  </si>
  <si>
    <t xml:space="preserve">20047370</t>
  </si>
  <si>
    <t xml:space="preserve">20049357</t>
  </si>
  <si>
    <t xml:space="preserve">20059280</t>
  </si>
  <si>
    <t xml:space="preserve">20060771</t>
  </si>
  <si>
    <t xml:space="preserve">20060845</t>
  </si>
  <si>
    <t xml:space="preserve">20065526</t>
  </si>
  <si>
    <t xml:space="preserve">20066234</t>
  </si>
  <si>
    <t xml:space="preserve">20066799</t>
  </si>
  <si>
    <t xml:space="preserve">20066836</t>
  </si>
  <si>
    <t xml:space="preserve">20068049</t>
  </si>
  <si>
    <t xml:space="preserve">20068059</t>
  </si>
  <si>
    <t xml:space="preserve">20069425</t>
  </si>
  <si>
    <t xml:space="preserve">20073842</t>
  </si>
  <si>
    <t xml:space="preserve">20075245</t>
  </si>
  <si>
    <t xml:space="preserve">20075298</t>
  </si>
  <si>
    <t xml:space="preserve">20075317</t>
  </si>
  <si>
    <t xml:space="preserve">Recargo Nocturno</t>
  </si>
  <si>
    <t xml:space="preserve">Hora Dominical o Festiva Ordinaria</t>
  </si>
  <si>
    <t xml:space="preserve">20077129</t>
  </si>
  <si>
    <t xml:space="preserve">20080480</t>
  </si>
  <si>
    <t xml:space="preserve">20081518</t>
  </si>
  <si>
    <t xml:space="preserve">20087553</t>
  </si>
  <si>
    <t xml:space="preserve">20087555</t>
  </si>
  <si>
    <t xml:space="preserve">20088951</t>
  </si>
  <si>
    <t xml:space="preserve">20090398</t>
  </si>
  <si>
    <t xml:space="preserve">20090881</t>
  </si>
  <si>
    <t xml:space="preserve">20091394</t>
  </si>
  <si>
    <t xml:space="preserve">20092674</t>
  </si>
  <si>
    <t xml:space="preserve">20095697</t>
  </si>
  <si>
    <t xml:space="preserve">20096418</t>
  </si>
  <si>
    <t xml:space="preserve">20097480</t>
  </si>
  <si>
    <t xml:space="preserve">20097763</t>
  </si>
  <si>
    <t xml:space="preserve">20098732</t>
  </si>
  <si>
    <t xml:space="preserve">20099217</t>
  </si>
  <si>
    <t xml:space="preserve">20100638</t>
  </si>
  <si>
    <t xml:space="preserve">20101530</t>
  </si>
  <si>
    <t xml:space="preserve">20102544</t>
  </si>
  <si>
    <t xml:space="preserve">20104631</t>
  </si>
  <si>
    <t xml:space="preserve">Hora Extra Dominical o Festiva Diurna</t>
  </si>
  <si>
    <t xml:space="preserve">20105895</t>
  </si>
  <si>
    <t xml:space="preserve">20105947</t>
  </si>
  <si>
    <t xml:space="preserve">20106287</t>
  </si>
  <si>
    <t xml:space="preserve">20106320</t>
  </si>
  <si>
    <t xml:space="preserve">20106429</t>
  </si>
  <si>
    <t xml:space="preserve">20106507</t>
  </si>
  <si>
    <t xml:space="preserve">20106546</t>
  </si>
  <si>
    <t xml:space="preserve">20106931</t>
  </si>
  <si>
    <t xml:space="preserve">20107557</t>
  </si>
  <si>
    <t xml:space="preserve">20108116</t>
  </si>
  <si>
    <t xml:space="preserve">20108941</t>
  </si>
  <si>
    <t xml:space="preserve">20109084</t>
  </si>
  <si>
    <t xml:space="preserve">20109086</t>
  </si>
  <si>
    <t xml:space="preserve">20109373</t>
  </si>
  <si>
    <t xml:space="preserve">20109421</t>
  </si>
  <si>
    <t xml:space="preserve">20109450</t>
  </si>
  <si>
    <t xml:space="preserve">20109676</t>
  </si>
  <si>
    <t xml:space="preserve">20109708</t>
  </si>
  <si>
    <t xml:space="preserve">20109859</t>
  </si>
  <si>
    <t xml:space="preserve">20110044</t>
  </si>
  <si>
    <t xml:space="preserve">20110072</t>
  </si>
  <si>
    <t xml:space="preserve">20110129</t>
  </si>
  <si>
    <t xml:space="preserve">20110275</t>
  </si>
  <si>
    <t xml:space="preserve">20110381</t>
  </si>
  <si>
    <t xml:space="preserve">20110390</t>
  </si>
  <si>
    <t xml:space="preserve">20110606</t>
  </si>
  <si>
    <t xml:space="preserve">20110625</t>
  </si>
  <si>
    <t xml:space="preserve">20110627</t>
  </si>
  <si>
    <t xml:space="preserve">20110681</t>
  </si>
  <si>
    <t xml:space="preserve">20110772</t>
  </si>
  <si>
    <t xml:space="preserve">20111034</t>
  </si>
  <si>
    <t xml:space="preserve">20111088</t>
  </si>
  <si>
    <t xml:space="preserve">20111115</t>
  </si>
  <si>
    <t xml:space="preserve">20111496</t>
  </si>
  <si>
    <t xml:space="preserve">20111576</t>
  </si>
  <si>
    <t xml:space="preserve">80113191</t>
  </si>
  <si>
    <t xml:space="preserve">Vacaciones en Liq. Contrato</t>
  </si>
  <si>
    <t xml:space="preserve">Cesantías</t>
  </si>
  <si>
    <t xml:space="preserve">Indemnización</t>
  </si>
  <si>
    <t xml:space="preserve">80113261</t>
  </si>
  <si>
    <t xml:space="preserve">80113669</t>
  </si>
  <si>
    <t xml:space="preserve">80115338</t>
  </si>
  <si>
    <t xml:space="preserve">001610</t>
  </si>
  <si>
    <t xml:space="preserve">Bonificación Por Retiro</t>
  </si>
  <si>
    <t xml:space="preserve">003335</t>
  </si>
  <si>
    <t xml:space="preserve">Rete Fte Bonificación Retiro</t>
  </si>
  <si>
    <t xml:space="preserve">80115424</t>
  </si>
  <si>
    <t xml:space="preserve">80116018</t>
  </si>
  <si>
    <t xml:space="preserve">80116712</t>
  </si>
  <si>
    <t xml:space="preserve">80116856</t>
  </si>
  <si>
    <t xml:space="preserve">80118328</t>
  </si>
  <si>
    <t xml:space="preserve">80118771</t>
  </si>
  <si>
    <t xml:space="preserve">80119392</t>
  </si>
  <si>
    <t xml:space="preserve">80120762</t>
  </si>
  <si>
    <t xml:space="preserve">80122396</t>
  </si>
  <si>
    <t xml:space="preserve">80122450</t>
  </si>
  <si>
    <t xml:space="preserve">80123026</t>
  </si>
  <si>
    <t xml:space="preserve">80123036</t>
  </si>
  <si>
    <t xml:space="preserve">80123148</t>
  </si>
  <si>
    <t xml:space="preserve">80124088</t>
  </si>
  <si>
    <t xml:space="preserve">80124137</t>
  </si>
  <si>
    <t xml:space="preserve">80125061</t>
  </si>
  <si>
    <t xml:space="preserve">80125201</t>
  </si>
  <si>
    <t xml:space="preserve">80125328</t>
  </si>
  <si>
    <t xml:space="preserve">80126016</t>
  </si>
  <si>
    <t xml:space="preserve">80126210</t>
  </si>
  <si>
    <t xml:space="preserve">80126630</t>
  </si>
  <si>
    <t xml:space="preserve">80127991</t>
  </si>
  <si>
    <t xml:space="preserve">90700092</t>
  </si>
  <si>
    <t xml:space="preserve">90700464</t>
  </si>
  <si>
    <t xml:space="preserve">90700779</t>
  </si>
  <si>
    <t xml:space="preserve">90700780</t>
  </si>
  <si>
    <t xml:space="preserve">90700783</t>
  </si>
  <si>
    <t xml:space="preserve">90701227</t>
  </si>
  <si>
    <t xml:space="preserve">90701229</t>
  </si>
  <si>
    <t xml:space="preserve">90701230</t>
  </si>
  <si>
    <t xml:space="preserve">90701307</t>
  </si>
  <si>
    <t xml:space="preserve">90701309</t>
  </si>
  <si>
    <t xml:space="preserve">90701311</t>
  </si>
  <si>
    <t xml:space="preserve">90701312</t>
  </si>
  <si>
    <t xml:space="preserve">90701313</t>
  </si>
  <si>
    <t xml:space="preserve">90701316</t>
  </si>
  <si>
    <t xml:space="preserve">90701726</t>
  </si>
  <si>
    <t xml:space="preserve">90701727</t>
  </si>
  <si>
    <t xml:space="preserve">90701833</t>
  </si>
  <si>
    <t xml:space="preserve">90701845</t>
  </si>
  <si>
    <t xml:space="preserve">90701846</t>
  </si>
  <si>
    <t xml:space="preserve">90701857</t>
  </si>
  <si>
    <t xml:space="preserve">90701858</t>
  </si>
  <si>
    <t xml:space="preserve">90701859</t>
  </si>
  <si>
    <t xml:space="preserve">90701868</t>
  </si>
  <si>
    <t xml:space="preserve">90701874</t>
  </si>
  <si>
    <t xml:space="preserve">90702257</t>
  </si>
  <si>
    <t xml:space="preserve">90702305</t>
  </si>
  <si>
    <t xml:space="preserve">90702306</t>
  </si>
  <si>
    <t xml:space="preserve">90702390</t>
  </si>
  <si>
    <t xml:space="preserve">90702391</t>
  </si>
  <si>
    <t xml:space="preserve">90702396</t>
  </si>
  <si>
    <t xml:space="preserve">90702464</t>
  </si>
  <si>
    <t xml:space="preserve">90702809</t>
  </si>
  <si>
    <t xml:space="preserve">90702924</t>
  </si>
  <si>
    <t xml:space="preserve">90702926</t>
  </si>
  <si>
    <t xml:space="preserve">90702964</t>
  </si>
  <si>
    <t xml:space="preserve">90703073</t>
  </si>
  <si>
    <t xml:space="preserve">90703074</t>
  </si>
  <si>
    <t xml:space="preserve">90703085</t>
  </si>
  <si>
    <t xml:space="preserve">90703595</t>
  </si>
  <si>
    <t xml:space="preserve">90703619</t>
  </si>
  <si>
    <t xml:space="preserve">90703620</t>
  </si>
  <si>
    <t xml:space="preserve">90703717</t>
  </si>
  <si>
    <t xml:space="preserve">90704117</t>
  </si>
  <si>
    <t xml:space="preserve">90704139</t>
  </si>
  <si>
    <t xml:space="preserve">90704224</t>
  </si>
  <si>
    <t xml:space="preserve">90704578</t>
  </si>
  <si>
    <t xml:space="preserve">90704676</t>
  </si>
  <si>
    <t xml:space="preserve">90704911</t>
  </si>
  <si>
    <t xml:space="preserve">90704913</t>
  </si>
  <si>
    <t xml:space="preserve">90705092</t>
  </si>
  <si>
    <t xml:space="preserve">90705094</t>
  </si>
  <si>
    <t xml:space="preserve">90705095</t>
  </si>
  <si>
    <t xml:space="preserve">90705097</t>
  </si>
  <si>
    <t xml:space="preserve">90705201</t>
  </si>
  <si>
    <t xml:space="preserve">90705202</t>
  </si>
  <si>
    <t xml:space="preserve">90705625</t>
  </si>
  <si>
    <t xml:space="preserve">90706605</t>
  </si>
  <si>
    <t xml:space="preserve">90706611</t>
  </si>
  <si>
    <t xml:space="preserve">90706615</t>
  </si>
  <si>
    <t xml:space="preserve">90706664</t>
  </si>
  <si>
    <t xml:space="preserve">90706678</t>
  </si>
  <si>
    <t xml:space="preserve">001090</t>
  </si>
  <si>
    <t xml:space="preserve">Pago Descanso Dominical y/o Festivo</t>
  </si>
  <si>
    <t xml:space="preserve">Rete. Fte Indemnización</t>
  </si>
  <si>
    <t xml:space="preserve">90706679</t>
  </si>
  <si>
    <t xml:space="preserve">90706706</t>
  </si>
  <si>
    <t xml:space="preserve">90706707</t>
  </si>
  <si>
    <t xml:space="preserve">90706708</t>
  </si>
  <si>
    <t xml:space="preserve">90706709</t>
  </si>
  <si>
    <t xml:space="preserve">90706755</t>
  </si>
  <si>
    <t xml:space="preserve">90707152</t>
  </si>
  <si>
    <t xml:space="preserve">90707181</t>
  </si>
  <si>
    <t xml:space="preserve">90707182</t>
  </si>
  <si>
    <t xml:space="preserve">90707578</t>
  </si>
  <si>
    <t xml:space="preserve">90707579</t>
  </si>
  <si>
    <t xml:space="preserve">90707580</t>
  </si>
  <si>
    <t xml:space="preserve">90707581</t>
  </si>
  <si>
    <t xml:space="preserve">90707658</t>
  </si>
  <si>
    <t xml:space="preserve">90707659</t>
  </si>
  <si>
    <t xml:space="preserve">90707662</t>
  </si>
  <si>
    <t xml:space="preserve">90707697</t>
  </si>
  <si>
    <t xml:space="preserve">90708049</t>
  </si>
  <si>
    <t xml:space="preserve">90708050</t>
  </si>
  <si>
    <t xml:space="preserve">90708061</t>
  </si>
  <si>
    <t xml:space="preserve">90708102</t>
  </si>
  <si>
    <t xml:space="preserve">90708133</t>
  </si>
  <si>
    <t xml:space="preserve">90708427</t>
  </si>
  <si>
    <t xml:space="preserve">90708469</t>
  </si>
  <si>
    <t xml:space="preserve">90708470</t>
  </si>
  <si>
    <t xml:space="preserve">90708534</t>
  </si>
  <si>
    <t xml:space="preserve">90708608</t>
  </si>
  <si>
    <t xml:space="preserve">90708828</t>
  </si>
  <si>
    <t xml:space="preserve">90708829</t>
  </si>
  <si>
    <t xml:space="preserve">90709350</t>
  </si>
  <si>
    <t xml:space="preserve">90709480</t>
  </si>
  <si>
    <t xml:space="preserve">90709501</t>
  </si>
  <si>
    <t xml:space="preserve">90711551</t>
  </si>
  <si>
    <t xml:space="preserve">90712023</t>
  </si>
  <si>
    <t xml:space="preserve">90712192</t>
  </si>
  <si>
    <t xml:space="preserve">90712265</t>
  </si>
  <si>
    <t xml:space="preserve">90712899</t>
  </si>
  <si>
    <t xml:space="preserve">90712902</t>
  </si>
  <si>
    <t xml:space="preserve">Vacaciones en Dinero</t>
  </si>
  <si>
    <t xml:space="preserve">90712913</t>
  </si>
  <si>
    <t xml:space="preserve">90712922</t>
  </si>
  <si>
    <t xml:space="preserve">90713551</t>
  </si>
  <si>
    <t xml:space="preserve">90713682</t>
  </si>
  <si>
    <t xml:space="preserve">90713691</t>
  </si>
  <si>
    <t xml:space="preserve">90713714</t>
  </si>
  <si>
    <t xml:space="preserve">90713722</t>
  </si>
  <si>
    <t xml:space="preserve">90713769</t>
  </si>
  <si>
    <t xml:space="preserve">90713772</t>
  </si>
  <si>
    <t xml:space="preserve">90713815</t>
  </si>
  <si>
    <t xml:space="preserve">90714079</t>
  </si>
  <si>
    <t xml:space="preserve">90714080</t>
  </si>
  <si>
    <t xml:space="preserve">90714348</t>
  </si>
  <si>
    <t xml:space="preserve">90714349</t>
  </si>
  <si>
    <t xml:space="preserve">90714551</t>
  </si>
  <si>
    <t xml:space="preserve">90714776</t>
  </si>
  <si>
    <t xml:space="preserve">90714799</t>
  </si>
  <si>
    <t xml:space="preserve">90714842</t>
  </si>
  <si>
    <t xml:space="preserve">90715242</t>
  </si>
  <si>
    <t xml:space="preserve">90715381</t>
  </si>
  <si>
    <t xml:space="preserve">90715384</t>
  </si>
  <si>
    <t xml:space="preserve">90715406</t>
  </si>
  <si>
    <t xml:space="preserve">90715413</t>
  </si>
  <si>
    <t xml:space="preserve">90715426</t>
  </si>
  <si>
    <t xml:space="preserve">90715705</t>
  </si>
  <si>
    <t xml:space="preserve">90715889</t>
  </si>
  <si>
    <t xml:space="preserve">90715933</t>
  </si>
  <si>
    <t xml:space="preserve">90715934</t>
  </si>
  <si>
    <t xml:space="preserve">90715935</t>
  </si>
  <si>
    <t xml:space="preserve">90715944</t>
  </si>
  <si>
    <t xml:space="preserve">90715959</t>
  </si>
  <si>
    <t xml:space="preserve">90715973</t>
  </si>
  <si>
    <t xml:space="preserve">90715974</t>
  </si>
  <si>
    <t xml:space="preserve">90716432</t>
  </si>
  <si>
    <t xml:space="preserve">90717164</t>
  </si>
  <si>
    <t xml:space="preserve">90717172</t>
  </si>
  <si>
    <t xml:space="preserve">90717219</t>
  </si>
  <si>
    <t xml:space="preserve">90717241</t>
  </si>
  <si>
    <t xml:space="preserve">90717286</t>
  </si>
  <si>
    <t xml:space="preserve">90717788</t>
  </si>
  <si>
    <t xml:space="preserve">90717901</t>
  </si>
  <si>
    <t xml:space="preserve">90717911</t>
  </si>
  <si>
    <t xml:space="preserve">90718502</t>
  </si>
  <si>
    <t xml:space="preserve">90718550</t>
  </si>
  <si>
    <t xml:space="preserve">90718559</t>
  </si>
  <si>
    <t xml:space="preserve">90719155</t>
  </si>
  <si>
    <t xml:space="preserve">90720157</t>
  </si>
  <si>
    <t xml:space="preserve">90720353</t>
  </si>
  <si>
    <t xml:space="preserve">90720354</t>
  </si>
  <si>
    <t xml:space="preserve">90720616</t>
  </si>
  <si>
    <t xml:space="preserve">90720624</t>
  </si>
  <si>
    <t xml:space="preserve">90720793</t>
  </si>
  <si>
    <t xml:space="preserve">90721482</t>
  </si>
  <si>
    <t xml:space="preserve">90721483</t>
  </si>
  <si>
    <t xml:space="preserve">90721515</t>
  </si>
  <si>
    <t xml:space="preserve">90721984</t>
  </si>
  <si>
    <t xml:space="preserve">90721986</t>
  </si>
  <si>
    <t xml:space="preserve">90722214</t>
  </si>
  <si>
    <t xml:space="preserve">90722227</t>
  </si>
  <si>
    <t xml:space="preserve">90722251</t>
  </si>
  <si>
    <t xml:space="preserve">90722261</t>
  </si>
  <si>
    <t xml:space="preserve">90722789</t>
  </si>
  <si>
    <t xml:space="preserve">90722803</t>
  </si>
  <si>
    <t xml:space="preserve">90722807</t>
  </si>
  <si>
    <t xml:space="preserve">90723868</t>
  </si>
  <si>
    <t xml:space="preserve">90723869</t>
  </si>
  <si>
    <t xml:space="preserve">90723871</t>
  </si>
  <si>
    <t xml:space="preserve">90723890</t>
  </si>
  <si>
    <t xml:space="preserve">90724400</t>
  </si>
  <si>
    <t xml:space="preserve">90724401</t>
  </si>
  <si>
    <t xml:space="preserve">90724402</t>
  </si>
  <si>
    <t xml:space="preserve">90724403</t>
  </si>
  <si>
    <t xml:space="preserve">90724680</t>
  </si>
  <si>
    <t xml:space="preserve">90724959</t>
  </si>
  <si>
    <t xml:space="preserve">90725025</t>
  </si>
  <si>
    <t xml:space="preserve">90725062</t>
  </si>
  <si>
    <t xml:space="preserve">90725076</t>
  </si>
  <si>
    <t xml:space="preserve">90725766</t>
  </si>
  <si>
    <t xml:space="preserve">90725768</t>
  </si>
  <si>
    <t xml:space="preserve">90725801</t>
  </si>
  <si>
    <t xml:space="preserve">90725802</t>
  </si>
  <si>
    <t xml:space="preserve">90725803</t>
  </si>
  <si>
    <t xml:space="preserve">90725804</t>
  </si>
  <si>
    <t xml:space="preserve">90725918</t>
  </si>
  <si>
    <t xml:space="preserve">90725922</t>
  </si>
  <si>
    <t xml:space="preserve">90725944</t>
  </si>
  <si>
    <t xml:space="preserve">90726215</t>
  </si>
  <si>
    <t xml:space="preserve">90726798</t>
  </si>
  <si>
    <t xml:space="preserve">90726799</t>
  </si>
  <si>
    <t xml:space="preserve">90727002</t>
  </si>
  <si>
    <t xml:space="preserve">90727047</t>
  </si>
  <si>
    <t xml:space="preserve">90727230</t>
  </si>
  <si>
    <t xml:space="preserve">90727265</t>
  </si>
  <si>
    <t xml:space="preserve">90727455</t>
  </si>
  <si>
    <t xml:space="preserve">90727473</t>
  </si>
  <si>
    <t xml:space="preserve">90727498</t>
  </si>
  <si>
    <t xml:space="preserve">90727617</t>
  </si>
  <si>
    <t xml:space="preserve">90727742</t>
  </si>
  <si>
    <t xml:space="preserve">90727958</t>
  </si>
  <si>
    <t xml:space="preserve">90727961</t>
  </si>
  <si>
    <t xml:space="preserve">90728010</t>
  </si>
  <si>
    <t xml:space="preserve">90728208</t>
  </si>
  <si>
    <t xml:space="preserve">90728209</t>
  </si>
  <si>
    <t xml:space="preserve">90728210</t>
  </si>
  <si>
    <t xml:space="preserve">90729127</t>
  </si>
  <si>
    <t xml:space="preserve">90729128</t>
  </si>
  <si>
    <t xml:space="preserve">90729453</t>
  </si>
  <si>
    <t xml:space="preserve">90729510</t>
  </si>
  <si>
    <t xml:space="preserve">90729530</t>
  </si>
  <si>
    <t xml:space="preserve">90729928</t>
  </si>
  <si>
    <t xml:space="preserve">90729946</t>
  </si>
  <si>
    <t xml:space="preserve">90730378</t>
  </si>
  <si>
    <t xml:space="preserve">90730435</t>
  </si>
  <si>
    <t xml:space="preserve">90730436</t>
  </si>
  <si>
    <t xml:space="preserve">90730533</t>
  </si>
  <si>
    <t xml:space="preserve">90730591</t>
  </si>
  <si>
    <t xml:space="preserve">90731141</t>
  </si>
  <si>
    <t xml:space="preserve">90731176</t>
  </si>
  <si>
    <t xml:space="preserve">90731178</t>
  </si>
  <si>
    <t xml:space="preserve">90731598</t>
  </si>
  <si>
    <t xml:space="preserve">90731599</t>
  </si>
  <si>
    <t xml:space="preserve">90732018</t>
  </si>
  <si>
    <t xml:space="preserve">90732019</t>
  </si>
  <si>
    <t xml:space="preserve">90732100</t>
  </si>
  <si>
    <t xml:space="preserve">90732148</t>
  </si>
  <si>
    <t xml:space="preserve">90732292</t>
  </si>
  <si>
    <t xml:space="preserve">90732300</t>
  </si>
  <si>
    <t xml:space="preserve">90732301</t>
  </si>
  <si>
    <t xml:space="preserve">90732302</t>
  </si>
  <si>
    <t xml:space="preserve">90732303</t>
  </si>
  <si>
    <t xml:space="preserve">90732304</t>
  </si>
  <si>
    <t xml:space="preserve">90732316</t>
  </si>
  <si>
    <t xml:space="preserve">90732386</t>
  </si>
  <si>
    <t xml:space="preserve">90732661</t>
  </si>
  <si>
    <t xml:space="preserve">90732662</t>
  </si>
  <si>
    <t xml:space="preserve">90732663</t>
  </si>
  <si>
    <t xml:space="preserve">90732687</t>
  </si>
  <si>
    <t xml:space="preserve">90732688</t>
  </si>
  <si>
    <t xml:space="preserve">90732689</t>
  </si>
  <si>
    <t xml:space="preserve">90732820</t>
  </si>
  <si>
    <t xml:space="preserve">90732866</t>
  </si>
  <si>
    <t xml:space="preserve">90732867</t>
  </si>
  <si>
    <t xml:space="preserve">90732868</t>
  </si>
  <si>
    <t xml:space="preserve">90732869</t>
  </si>
  <si>
    <t xml:space="preserve">90732870</t>
  </si>
  <si>
    <t xml:space="preserve">90732871</t>
  </si>
  <si>
    <t xml:space="preserve">90732874</t>
  </si>
  <si>
    <t xml:space="preserve">90732875</t>
  </si>
  <si>
    <t xml:space="preserve">90733044</t>
  </si>
  <si>
    <t xml:space="preserve">90733076</t>
  </si>
  <si>
    <t xml:space="preserve">90733077</t>
  </si>
  <si>
    <t xml:space="preserve">90733197</t>
  </si>
  <si>
    <t xml:space="preserve">90733266</t>
  </si>
  <si>
    <t xml:space="preserve">90733267</t>
  </si>
  <si>
    <t xml:space="preserve">90733314</t>
  </si>
  <si>
    <t xml:space="preserve">90733316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</si>
</sst>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* #,##0.00_);_(* \(#,##0.00\);_(* &quot;-&quot;??_);_(@_)"/>
    <numFmt numFmtId="166" formatCode="_(* #,##0_);_(* \(#,##0\);_(* &quot;-&quot;??_);_(@_)"/>
    <numFmt numFmtId="167" formatCode="yyyy\-mm\-dd"/>
    <numFmt numFmtId="168" formatCode="&quot;$&quot;#,###"/>
    <numFmt numFmtId="169" formatCode="0.0"/>
    <numFmt numFmtId="170" formatCode="[$-1240A]d/mm/yyyy"/>
    <numFmt numFmtId="171" formatCode="[$-1240A]#,##0;\(#,##0\)"/>
    <numFmt numFmtId="172" formatCode="[$-1240A]#,##0;\-#,##0"/>
    <numFmt numFmtId="173" formatCode="[$-1240A]#,##0.00;\-#,##0.00"/>
    <numFmt numFmtId="174" formatCode="#,##0.00_ ;\-#,##0.00\ "/>
    <numFmt numFmtId="175" formatCode="_-* #,##0_-;\-* #,##0_-;_-* &quot;-&quot;??_-;_-@_-"/>
    <numFmt numFmtId="176" formatCode="[$-1240A]dd/mm/yyyy"/>
    <numFmt numFmtId="177" formatCode="#,##0_ ;\-#,##0\ "/>
    <numFmt numFmtId="178" formatCode="_-&quot;$&quot;* #,##0_-;\-&quot;$&quot;* #,##0_-;_-&quot;$&quot;* &quot;-&quot;??_-;_-@_-"/>
    <numFmt numFmtId="179" formatCode="0.0000"/>
    <numFmt numFmtId="180" formatCode="[$-10409]&quot;$&quot;#,##0;\(&quot;$&quot;#,##0\)"/>
  </numFmts>
  <fonts count="5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7"/>
      <color rgb="FFFFFFFF"/>
      <name val="Tahoma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7"/>
      <color rgb="FF000000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  <scheme val="minor"/>
    </font>
    <font>
      <sz val="7"/>
      <color rgb="FF000000"/>
      <name val="Tahoma"/>
      <family val="2"/>
    </font>
    <font>
      <sz val="7"/>
      <color rgb="FF000000"/>
      <name val="Tahoma"/>
      <family val="2"/>
    </font>
    <font>
      <b/>
      <sz val="10"/>
      <color rgb="FFFFFFFF"/>
      <name val="Segoe UI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11"/>
      <color theme="8" tint="-0.499984740745262"/>
      <name val="Calibri"/>
      <family val="2"/>
    </font>
    <font>
      <b/>
      <sz val="11"/>
      <color rgb="FFEE0000"/>
      <name val="Calibri"/>
      <family val="2"/>
    </font>
    <font>
      <b/>
      <sz val="12"/>
      <name val="Calibri"/>
      <family val="2"/>
    </font>
    <font>
      <sz val="11"/>
      <color theme="5"/>
      <name val="Calibri"/>
      <family val="2"/>
    </font>
    <font>
      <b/>
      <sz val="9"/>
      <color rgb="FFEE0000"/>
      <name val="Calibri"/>
      <family val="2"/>
    </font>
    <font>
      <sz val="9"/>
      <color rgb="FFEE0000"/>
      <name val="Calibri"/>
      <family val="2"/>
    </font>
    <font>
      <sz val="9"/>
      <color rgb="FF000000"/>
      <name val="Segoe UI"/>
      <family val="2"/>
    </font>
    <font>
      <sz val="8"/>
      <color rgb="FF1D1C1D"/>
      <name val="Arial"/>
      <family val="2"/>
    </font>
    <font>
      <sz val="7"/>
      <name val="Arial"/>
      <family val="2"/>
    </font>
    <font>
      <sz val="11"/>
      <color indexed="8"/>
      <name val="Calibri"/>
      <family val="2"/>
      <scheme val="minor"/>
    </font>
    <font>
      <sz val="5"/>
      <color rgb="FF71717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rgb="FF000000"/>
      <name val="Arial"/>
      <family val="2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11"/>
      <color rgb="FF1D1C1D"/>
      <name val="Calibri"/>
      <family val="2"/>
      <scheme val="minor"/>
    </font>
    <font>
      <sz val="4.5"/>
      <color rgb="FF000000"/>
      <name val="Trebuchet MS"/>
      <family val="2"/>
    </font>
    <font>
      <b/>
      <sz val="4.5"/>
      <color rgb="FF000000"/>
      <name val="Trebuchet MS"/>
      <family val="2"/>
    </font>
  </fonts>
  <fills count="41">
    <fill>
      <patternFill patternType="none"/>
    </fill>
    <fill>
      <patternFill patternType="gray125"/>
    </fill>
    <fill>
      <patternFill patternType="solid">
        <fgColor rgb="FF1F4763"/>
        <bgColor rgb="FF1F4763"/>
      </patternFill>
    </fill>
    <fill>
      <patternFill patternType="solid">
        <fgColor rgb="FF99CC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5D"/>
        <bgColor indexed="64"/>
      </patternFill>
    </fill>
    <fill>
      <patternFill patternType="solid">
        <fgColor rgb="FFF68B1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8B57"/>
        <bgColor rgb="FF2E8B57"/>
      </patternFill>
    </fill>
    <fill>
      <patternFill patternType="solid">
        <fgColor rgb="FFF5F5F5"/>
        <bgColor rgb="FFF5F5F5"/>
      </patternFill>
    </fill>
    <fill>
      <patternFill patternType="solid">
        <fgColor theme="9"/>
        <bgColor rgb="FF1F476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DCDC"/>
        <bgColor rgb="FFDCDCDC"/>
      </patternFill>
    </fill>
    <fill>
      <patternFill patternType="solid">
        <fgColor rgb="FF909E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1F4763"/>
      </patternFill>
    </fill>
    <fill>
      <patternFill patternType="solid">
        <fgColor rgb="FF1F476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D0F2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3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13" fillId="0" borderId="0"/>
    <xf numFmtId="165" fontId="20" fillId="0" borderId="0" applyFont="0" applyFill="0" applyBorder="0" applyAlignment="0" applyProtection="0"/>
    <xf numFmtId="0" fontId="2" fillId="0" borderId="0"/>
    <xf numFmtId="165" fontId="20" fillId="0" borderId="0" applyFont="0" applyFill="0" applyBorder="0" applyAlignment="0" applyProtection="0"/>
    <xf numFmtId="0" fontId="1" fillId="0" borderId="0"/>
    <xf numFmtId="165" fontId="20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42" fillId="0" borderId="0"/>
  </cellStyleXfs>
  <cellXfs count="320">
    <xf numFmtId="0" fontId="3" fillId="0" borderId="0" xfId="0" applyFont="1"/>
    <xf numFmtId="0" fontId="5" fillId="0" borderId="1" xfId="0" applyFont="1" applyBorder="1" applyAlignment="1">
      <alignment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vertical="center"/>
    </xf>
    <xf numFmtId="14" fontId="6" fillId="0" borderId="2" xfId="0" applyNumberFormat="1" applyFont="1" applyBorder="1"/>
    <xf numFmtId="0" fontId="0" fillId="0" borderId="0" xfId="0"/>
    <xf numFmtId="0" fontId="8" fillId="0" borderId="2" xfId="0" applyFont="1" applyBorder="1" applyAlignment="1">
      <alignment horizontal="right"/>
    </xf>
    <xf numFmtId="9" fontId="8" fillId="0" borderId="2" xfId="0" applyNumberFormat="1" applyFont="1" applyBorder="1" applyAlignment="1">
      <alignment horizontal="right"/>
    </xf>
    <xf numFmtId="0" fontId="0" fillId="0" borderId="7" xfId="0" applyBorder="1"/>
    <xf numFmtId="9" fontId="0" fillId="0" borderId="7" xfId="0" applyNumberFormat="1" applyBorder="1"/>
    <xf numFmtId="1" fontId="0" fillId="0" borderId="7" xfId="0" applyNumberFormat="1" applyBorder="1"/>
    <xf numFmtId="10" fontId="0" fillId="0" borderId="7" xfId="0" applyNumberFormat="1" applyBorder="1"/>
    <xf numFmtId="1" fontId="8" fillId="0" borderId="2" xfId="0" applyNumberFormat="1" applyFont="1" applyBorder="1" applyAlignment="1">
      <alignment horizontal="right"/>
    </xf>
    <xf numFmtId="0" fontId="9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/>
    <xf numFmtId="0" fontId="7" fillId="2" borderId="1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4" fontId="3" fillId="0" borderId="0" xfId="0" applyNumberFormat="1" applyFont="1"/>
    <xf numFmtId="1" fontId="8" fillId="0" borderId="2" xfId="0" applyNumberFormat="1" applyFont="1" applyBorder="1"/>
    <xf numFmtId="0" fontId="12" fillId="0" borderId="1" xfId="0" applyFont="1" applyBorder="1" applyAlignment="1">
      <alignment vertical="top" wrapText="1" readingOrder="1"/>
    </xf>
    <xf numFmtId="0" fontId="11" fillId="0" borderId="0" xfId="0" applyFont="1"/>
    <xf numFmtId="0" fontId="7" fillId="2" borderId="1" xfId="0" applyFont="1" applyFill="1" applyBorder="1" applyAlignment="1">
      <alignment horizontal="center" vertical="top" wrapText="1" readingOrder="1"/>
    </xf>
    <xf numFmtId="0" fontId="9" fillId="7" borderId="6" xfId="0" applyFont="1" applyFill="1" applyBorder="1"/>
    <xf numFmtId="0" fontId="6" fillId="8" borderId="7" xfId="0" applyFont="1" applyFill="1" applyBorder="1" applyAlignment="1">
      <alignment horizontal="center" wrapText="1"/>
    </xf>
    <xf numFmtId="0" fontId="0" fillId="10" borderId="0" xfId="0" applyFill="1"/>
    <xf numFmtId="166" fontId="0" fillId="10" borderId="0" xfId="2" applyNumberFormat="1" applyFont="1" applyFill="1"/>
    <xf numFmtId="0" fontId="14" fillId="0" borderId="0" xfId="0" applyFont="1"/>
    <xf numFmtId="0" fontId="15" fillId="9" borderId="21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 wrapText="1"/>
    </xf>
    <xf numFmtId="0" fontId="16" fillId="0" borderId="23" xfId="0" applyFont="1" applyBorder="1"/>
    <xf numFmtId="0" fontId="17" fillId="0" borderId="24" xfId="3" applyNumberFormat="1" applyFont="1" applyBorder="1" applyAlignment="1">
      <alignment vertical="center"/>
    </xf>
    <xf numFmtId="166" fontId="17" fillId="0" borderId="24" xfId="2" applyNumberFormat="1" applyFont="1" applyFill="1" applyBorder="1" applyAlignment="1">
      <alignment vertical="center"/>
    </xf>
    <xf numFmtId="166" fontId="17" fillId="12" borderId="24" xfId="2" applyNumberFormat="1" applyFont="1" applyFill="1" applyBorder="1" applyAlignment="1">
      <alignment vertical="center"/>
    </xf>
    <xf numFmtId="166" fontId="17" fillId="13" borderId="24" xfId="2" applyNumberFormat="1" applyFont="1" applyFill="1" applyBorder="1" applyAlignment="1">
      <alignment vertical="center"/>
    </xf>
    <xf numFmtId="0" fontId="0" fillId="10" borderId="20" xfId="0" applyFill="1" applyBorder="1" applyAlignment="1">
      <alignment horizontal="left" vertical="center"/>
    </xf>
    <xf numFmtId="166" fontId="18" fillId="0" borderId="24" xfId="2" applyNumberFormat="1" applyFont="1" applyFill="1" applyBorder="1" applyAlignment="1">
      <alignment vertical="center"/>
    </xf>
    <xf numFmtId="0" fontId="19" fillId="0" borderId="23" xfId="0" applyFont="1" applyBorder="1"/>
    <xf numFmtId="14" fontId="16" fillId="0" borderId="23" xfId="0" applyNumberFormat="1" applyFont="1" applyBorder="1"/>
    <xf numFmtId="2" fontId="3" fillId="0" borderId="0" xfId="0" applyNumberFormat="1" applyFont="1"/>
    <xf numFmtId="2" fontId="10" fillId="0" borderId="0" xfId="0" applyNumberFormat="1" applyFont="1"/>
    <xf numFmtId="1" fontId="10" fillId="0" borderId="0" xfId="0" applyNumberFormat="1" applyFont="1"/>
    <xf numFmtId="166" fontId="17" fillId="12" borderId="0" xfId="2" applyNumberFormat="1" applyFont="1" applyFill="1" applyBorder="1" applyAlignment="1">
      <alignment vertical="center"/>
    </xf>
    <xf numFmtId="165" fontId="17" fillId="12" borderId="24" xfId="2" applyNumberFormat="1" applyFont="1" applyFill="1" applyBorder="1" applyAlignment="1">
      <alignment vertical="center"/>
    </xf>
    <xf numFmtId="2" fontId="16" fillId="0" borderId="23" xfId="0" applyNumberFormat="1" applyFont="1" applyBorder="1"/>
    <xf numFmtId="1" fontId="16" fillId="0" borderId="23" xfId="0" applyNumberFormat="1" applyFont="1" applyBorder="1"/>
    <xf numFmtId="1" fontId="19" fillId="0" borderId="23" xfId="0" applyNumberFormat="1" applyFont="1" applyBorder="1"/>
    <xf numFmtId="0" fontId="6" fillId="8" borderId="19" xfId="0" applyFont="1" applyFill="1" applyBorder="1" applyAlignment="1">
      <alignment horizontal="center" vertical="center"/>
    </xf>
    <xf numFmtId="0" fontId="21" fillId="14" borderId="18" xfId="0" applyFont="1" applyFill="1" applyBorder="1" applyProtection="1">
      <protection locked="0"/>
    </xf>
    <xf numFmtId="0" fontId="0" fillId="0" borderId="0" xfId="0" applyProtection="1">
      <protection locked="0"/>
    </xf>
    <xf numFmtId="0" fontId="9" fillId="16" borderId="0" xfId="0" applyFont="1" applyFill="1" applyAlignment="1">
      <alignment horizontal="center" vertical="center" wrapText="1"/>
    </xf>
    <xf numFmtId="0" fontId="3" fillId="17" borderId="0" xfId="0" applyFont="1" applyFill="1"/>
    <xf numFmtId="0" fontId="6" fillId="4" borderId="8" xfId="0" applyFont="1" applyFill="1" applyBorder="1" applyAlignment="1">
      <alignment horizontal="center"/>
    </xf>
    <xf numFmtId="0" fontId="16" fillId="0" borderId="25" xfId="0" applyFont="1" applyBorder="1"/>
    <xf numFmtId="1" fontId="3" fillId="0" borderId="0" xfId="0" applyNumberFormat="1" applyFont="1"/>
    <xf numFmtId="169" fontId="16" fillId="0" borderId="23" xfId="0" applyNumberFormat="1" applyFont="1" applyBorder="1"/>
    <xf numFmtId="43" fontId="3" fillId="0" borderId="0" xfId="2" applyFont="1"/>
    <xf numFmtId="43" fontId="15" fillId="6" borderId="22" xfId="2" applyFont="1" applyFill="1" applyBorder="1" applyAlignment="1">
      <alignment horizontal="center" vertical="center" wrapText="1"/>
    </xf>
    <xf numFmtId="0" fontId="9" fillId="19" borderId="0" xfId="0" applyFont="1" applyFill="1" applyAlignment="1">
      <alignment horizontal="center"/>
    </xf>
    <xf numFmtId="43" fontId="14" fillId="0" borderId="0" xfId="2" applyFont="1"/>
    <xf numFmtId="43" fontId="15" fillId="11" borderId="21" xfId="2" applyFont="1" applyFill="1" applyBorder="1" applyAlignment="1">
      <alignment horizontal="center" vertical="center" wrapText="1"/>
    </xf>
    <xf numFmtId="0" fontId="3" fillId="19" borderId="0" xfId="0" applyFont="1" applyFill="1"/>
    <xf numFmtId="0" fontId="6" fillId="20" borderId="9" xfId="0" applyFont="1" applyFill="1" applyBorder="1" applyAlignment="1">
      <alignment horizont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168" fontId="3" fillId="0" borderId="0" xfId="0" applyNumberFormat="1" applyFont="1"/>
    <xf numFmtId="0" fontId="11" fillId="18" borderId="0" xfId="0" applyFont="1" applyFill="1"/>
    <xf numFmtId="0" fontId="4" fillId="2" borderId="1" xfId="0" applyFont="1" applyFill="1" applyBorder="1" applyAlignment="1">
      <alignment horizontal="left" vertical="center" wrapText="1" readingOrder="1"/>
    </xf>
    <xf numFmtId="0" fontId="3" fillId="20" borderId="0" xfId="0" applyFont="1" applyFill="1"/>
    <xf numFmtId="0" fontId="12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24" fillId="22" borderId="26" xfId="0" applyFont="1" applyFill="1" applyBorder="1" applyAlignment="1">
      <alignment horizontal="center" vertical="center" wrapText="1" readingOrder="1"/>
    </xf>
    <xf numFmtId="0" fontId="25" fillId="22" borderId="26" xfId="0" applyFont="1" applyFill="1" applyBorder="1" applyAlignment="1">
      <alignment horizontal="center" vertical="center" wrapText="1" readingOrder="1"/>
    </xf>
    <xf numFmtId="0" fontId="26" fillId="0" borderId="26" xfId="0" applyFont="1" applyBorder="1" applyAlignment="1">
      <alignment horizontal="right" vertical="center" wrapText="1" readingOrder="1"/>
    </xf>
    <xf numFmtId="0" fontId="26" fillId="0" borderId="26" xfId="0" applyFont="1" applyBorder="1" applyAlignment="1">
      <alignment horizontal="center" vertical="center" wrapText="1" readingOrder="1"/>
    </xf>
    <xf numFmtId="0" fontId="26" fillId="0" borderId="26" xfId="0" applyFont="1" applyBorder="1" applyAlignment="1">
      <alignment horizontal="left" vertical="center" wrapText="1" readingOrder="1"/>
    </xf>
    <xf numFmtId="0" fontId="27" fillId="0" borderId="1" xfId="0" applyFont="1" applyBorder="1" applyAlignment="1">
      <alignment vertical="center" wrapText="1" readingOrder="1"/>
    </xf>
    <xf numFmtId="173" fontId="27" fillId="0" borderId="1" xfId="0" applyNumberFormat="1" applyFont="1" applyBorder="1" applyAlignment="1">
      <alignment horizontal="right" vertical="center" wrapText="1" readingOrder="1"/>
    </xf>
    <xf numFmtId="0" fontId="3" fillId="0" borderId="0" xfId="0" quotePrefix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173" fontId="3" fillId="0" borderId="0" xfId="0" applyNumberFormat="1" applyFont="1"/>
    <xf numFmtId="14" fontId="4" fillId="2" borderId="1" xfId="0" applyNumberFormat="1" applyFont="1" applyFill="1" applyBorder="1" applyAlignment="1">
      <alignment horizontal="center" vertical="center" wrapText="1" readingOrder="1"/>
    </xf>
    <xf numFmtId="174" fontId="3" fillId="0" borderId="0" xfId="0" applyNumberFormat="1" applyFont="1"/>
    <xf numFmtId="0" fontId="5" fillId="0" borderId="1" xfId="0" quotePrefix="1" applyFont="1" applyBorder="1" applyAlignment="1">
      <alignment horizontal="left" vertical="top" wrapText="1" readingOrder="1"/>
    </xf>
    <xf numFmtId="0" fontId="3" fillId="25" borderId="0" xfId="0" applyFont="1" applyFill="1"/>
    <xf numFmtId="0" fontId="27" fillId="21" borderId="27" xfId="0" applyFont="1" applyFill="1" applyBorder="1" applyAlignment="1">
      <alignment horizontal="right" vertical="center" wrapText="1"/>
    </xf>
    <xf numFmtId="14" fontId="3" fillId="0" borderId="0" xfId="0" applyNumberFormat="1" applyFont="1" applyAlignment="1">
      <alignment vertical="center"/>
    </xf>
    <xf numFmtId="166" fontId="3" fillId="0" borderId="0" xfId="0" applyNumberFormat="1" applyFont="1"/>
    <xf numFmtId="0" fontId="28" fillId="26" borderId="1" xfId="0" applyFont="1" applyFill="1" applyBorder="1" applyAlignment="1">
      <alignment vertical="center" wrapText="1" readingOrder="1"/>
    </xf>
    <xf numFmtId="0" fontId="28" fillId="26" borderId="1" xfId="0" applyFont="1" applyFill="1" applyBorder="1" applyAlignment="1">
      <alignment horizontal="right" vertical="center" wrapText="1" readingOrder="1"/>
    </xf>
    <xf numFmtId="0" fontId="9" fillId="27" borderId="7" xfId="0" applyFont="1" applyFill="1" applyBorder="1" applyAlignment="1">
      <alignment horizontal="center" wrapText="1"/>
    </xf>
    <xf numFmtId="0" fontId="3" fillId="28" borderId="0" xfId="0" applyFont="1" applyFill="1"/>
    <xf numFmtId="10" fontId="3" fillId="0" borderId="0" xfId="0" applyNumberFormat="1" applyFont="1"/>
    <xf numFmtId="173" fontId="27" fillId="0" borderId="34" xfId="0" applyNumberFormat="1" applyFont="1" applyBorder="1" applyAlignment="1">
      <alignment horizontal="right" vertical="center" wrapText="1" readingOrder="1"/>
    </xf>
    <xf numFmtId="173" fontId="27" fillId="28" borderId="1" xfId="0" applyNumberFormat="1" applyFont="1" applyFill="1" applyBorder="1" applyAlignment="1">
      <alignment horizontal="right" vertical="center" wrapText="1" readingOrder="1"/>
    </xf>
    <xf numFmtId="9" fontId="3" fillId="0" borderId="0" xfId="0" applyNumberFormat="1" applyFont="1"/>
    <xf numFmtId="0" fontId="3" fillId="29" borderId="0" xfId="0" applyFont="1" applyFill="1"/>
    <xf numFmtId="176" fontId="27" fillId="0" borderId="1" xfId="0" applyNumberFormat="1" applyFont="1" applyBorder="1" applyAlignment="1">
      <alignment horizontal="center" vertical="center" wrapText="1" readingOrder="1"/>
    </xf>
    <xf numFmtId="0" fontId="28" fillId="23" borderId="1" xfId="0" applyFont="1" applyFill="1" applyBorder="1" applyAlignment="1">
      <alignment vertical="center" wrapText="1" readingOrder="1"/>
    </xf>
    <xf numFmtId="0" fontId="28" fillId="23" borderId="1" xfId="0" applyFont="1" applyFill="1" applyBorder="1" applyAlignment="1">
      <alignment horizontal="right" vertical="center" wrapText="1" readingOrder="1"/>
    </xf>
    <xf numFmtId="173" fontId="28" fillId="23" borderId="1" xfId="0" applyNumberFormat="1" applyFont="1" applyFill="1" applyBorder="1" applyAlignment="1">
      <alignment horizontal="right" vertical="center" wrapText="1" readingOrder="1"/>
    </xf>
    <xf numFmtId="0" fontId="28" fillId="23" borderId="1" xfId="0" applyFont="1" applyFill="1" applyBorder="1" applyAlignment="1">
      <alignment horizontal="center" vertical="center" wrapText="1" readingOrder="1"/>
    </xf>
    <xf numFmtId="0" fontId="31" fillId="14" borderId="7" xfId="0" applyFont="1" applyFill="1" applyBorder="1" applyProtection="1">
      <protection locked="0"/>
    </xf>
    <xf numFmtId="0" fontId="31" fillId="15" borderId="7" xfId="0" applyFont="1" applyFill="1" applyBorder="1" applyProtection="1">
      <protection locked="0"/>
    </xf>
    <xf numFmtId="0" fontId="13" fillId="0" borderId="0" xfId="0" applyFont="1" applyAlignment="1">
      <alignment horizontal="right"/>
    </xf>
    <xf numFmtId="0" fontId="9" fillId="3" borderId="7" xfId="0" applyFont="1" applyFill="1" applyBorder="1" applyAlignment="1">
      <alignment horizontal="center"/>
    </xf>
    <xf numFmtId="0" fontId="3" fillId="0" borderId="7" xfId="0" applyFont="1" applyBorder="1"/>
    <xf numFmtId="49" fontId="3" fillId="0" borderId="7" xfId="0" applyNumberFormat="1" applyFont="1" applyBorder="1"/>
    <xf numFmtId="0" fontId="3" fillId="0" borderId="0" xfId="0" quotePrefix="1" applyFont="1"/>
    <xf numFmtId="0" fontId="13" fillId="0" borderId="0" xfId="0" quotePrefix="1" applyFont="1" applyAlignment="1">
      <alignment horizontal="right"/>
    </xf>
    <xf numFmtId="0" fontId="15" fillId="9" borderId="22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readingOrder="1"/>
    </xf>
    <xf numFmtId="175" fontId="4" fillId="2" borderId="1" xfId="2" applyNumberFormat="1" applyFont="1" applyFill="1" applyBorder="1" applyAlignment="1">
      <alignment horizontal="center" vertical="center" wrapText="1" readingOrder="1"/>
    </xf>
    <xf numFmtId="0" fontId="3" fillId="0" borderId="0" xfId="1" applyAlignment="1">
      <alignment vertical="center"/>
    </xf>
    <xf numFmtId="175" fontId="2" fillId="0" borderId="0" xfId="2" applyNumberFormat="1" applyFont="1" applyAlignment="1">
      <alignment vertical="center"/>
    </xf>
    <xf numFmtId="0" fontId="9" fillId="27" borderId="0" xfId="0" applyFont="1" applyFill="1" applyAlignment="1">
      <alignment horizontal="center" wrapText="1"/>
    </xf>
    <xf numFmtId="175" fontId="3" fillId="0" borderId="0" xfId="2" applyNumberFormat="1" applyFont="1"/>
    <xf numFmtId="175" fontId="3" fillId="0" borderId="0" xfId="2" applyNumberFormat="1" applyFont="1" applyAlignment="1">
      <alignment vertical="center"/>
    </xf>
    <xf numFmtId="175" fontId="21" fillId="2" borderId="1" xfId="2" applyNumberFormat="1" applyFont="1" applyFill="1" applyBorder="1" applyAlignment="1">
      <alignment horizontal="center" vertical="center" wrapText="1" readingOrder="1"/>
    </xf>
    <xf numFmtId="0" fontId="32" fillId="0" borderId="0" xfId="0" applyFont="1"/>
    <xf numFmtId="175" fontId="3" fillId="0" borderId="0" xfId="0" applyNumberFormat="1" applyFont="1"/>
    <xf numFmtId="166" fontId="21" fillId="31" borderId="1" xfId="8" applyNumberFormat="1" applyFont="1" applyFill="1" applyBorder="1" applyAlignment="1" applyProtection="1">
      <alignment horizontal="center" vertical="center" wrapText="1" readingOrder="1"/>
      <protection locked="0"/>
    </xf>
    <xf numFmtId="166" fontId="21" fillId="32" borderId="1" xfId="8" applyNumberFormat="1" applyFont="1" applyFill="1" applyBorder="1" applyAlignment="1" applyProtection="1">
      <alignment horizontal="center" vertical="center" wrapText="1" readingOrder="1"/>
      <protection locked="0"/>
    </xf>
    <xf numFmtId="14" fontId="15" fillId="9" borderId="21" xfId="0" applyNumberFormat="1" applyFont="1" applyFill="1" applyBorder="1" applyAlignment="1">
      <alignment horizontal="center" vertical="center" wrapText="1"/>
    </xf>
    <xf numFmtId="0" fontId="3" fillId="0" borderId="0" xfId="1"/>
    <xf numFmtId="0" fontId="0" fillId="21" borderId="11" xfId="0" applyFill="1" applyBorder="1"/>
    <xf numFmtId="49" fontId="0" fillId="21" borderId="11" xfId="0" applyNumberFormat="1" applyFill="1" applyBorder="1"/>
    <xf numFmtId="0" fontId="0" fillId="21" borderId="0" xfId="0" applyFill="1"/>
    <xf numFmtId="49" fontId="0" fillId="21" borderId="0" xfId="0" applyNumberFormat="1" applyFill="1"/>
    <xf numFmtId="167" fontId="0" fillId="21" borderId="0" xfId="0" applyNumberFormat="1" applyFill="1"/>
    <xf numFmtId="10" fontId="0" fillId="21" borderId="0" xfId="0" applyNumberFormat="1" applyFill="1"/>
    <xf numFmtId="4" fontId="3" fillId="0" borderId="0" xfId="0" applyNumberFormat="1" applyFont="1"/>
    <xf numFmtId="0" fontId="3" fillId="28" borderId="0" xfId="1" applyFill="1"/>
    <xf numFmtId="0" fontId="27" fillId="0" borderId="1" xfId="1" applyFont="1" applyBorder="1" applyAlignment="1">
      <alignment vertical="center" wrapText="1" readingOrder="1"/>
    </xf>
    <xf numFmtId="173" fontId="27" fillId="0" borderId="1" xfId="1" applyNumberFormat="1" applyFont="1" applyBorder="1" applyAlignment="1">
      <alignment horizontal="right" vertical="center" wrapText="1" readingOrder="1"/>
    </xf>
    <xf numFmtId="176" fontId="27" fillId="0" borderId="1" xfId="1" applyNumberFormat="1" applyFont="1" applyBorder="1" applyAlignment="1">
      <alignment horizontal="center" vertical="center" wrapText="1" readingOrder="1"/>
    </xf>
    <xf numFmtId="0" fontId="28" fillId="23" borderId="1" xfId="1" applyFont="1" applyFill="1" applyBorder="1" applyAlignment="1">
      <alignment vertical="center" wrapText="1" readingOrder="1"/>
    </xf>
    <xf numFmtId="0" fontId="28" fillId="23" borderId="1" xfId="1" applyFont="1" applyFill="1" applyBorder="1" applyAlignment="1">
      <alignment horizontal="right" vertical="center" wrapText="1" readingOrder="1"/>
    </xf>
    <xf numFmtId="173" fontId="28" fillId="23" borderId="1" xfId="1" applyNumberFormat="1" applyFont="1" applyFill="1" applyBorder="1" applyAlignment="1">
      <alignment horizontal="right" vertical="center" wrapText="1" readingOrder="1"/>
    </xf>
    <xf numFmtId="0" fontId="28" fillId="23" borderId="1" xfId="1" applyFont="1" applyFill="1" applyBorder="1" applyAlignment="1">
      <alignment horizontal="center" vertical="center" wrapText="1" readingOrder="1"/>
    </xf>
    <xf numFmtId="0" fontId="4" fillId="31" borderId="1" xfId="4" applyFont="1" applyFill="1" applyBorder="1" applyAlignment="1" applyProtection="1">
      <alignment horizontal="center" vertical="center" wrapText="1" readingOrder="1"/>
      <protection locked="0"/>
    </xf>
    <xf numFmtId="165" fontId="4" fillId="31" borderId="1" xfId="10" applyFont="1" applyFill="1" applyBorder="1" applyAlignment="1" applyProtection="1">
      <alignment horizontal="center" vertical="center" wrapText="1" readingOrder="1"/>
      <protection locked="0"/>
    </xf>
    <xf numFmtId="165" fontId="3" fillId="0" borderId="0" xfId="0" applyNumberFormat="1" applyFont="1"/>
    <xf numFmtId="0" fontId="31" fillId="30" borderId="0" xfId="11" applyFont="1" applyFill="1"/>
    <xf numFmtId="0" fontId="21" fillId="2" borderId="1" xfId="11" applyFont="1" applyFill="1" applyBorder="1" applyAlignment="1">
      <alignment horizontal="center" vertical="center" wrapText="1" readingOrder="1"/>
    </xf>
    <xf numFmtId="10" fontId="3" fillId="0" borderId="7" xfId="0" applyNumberFormat="1" applyFont="1" applyBorder="1"/>
    <xf numFmtId="0" fontId="27" fillId="0" borderId="7" xfId="0" applyFont="1" applyBorder="1" applyAlignment="1">
      <alignment vertical="center" wrapText="1" readingOrder="1"/>
    </xf>
    <xf numFmtId="173" fontId="27" fillId="0" borderId="7" xfId="0" applyNumberFormat="1" applyFont="1" applyBorder="1" applyAlignment="1">
      <alignment horizontal="right" vertical="center" wrapText="1" readingOrder="1"/>
    </xf>
    <xf numFmtId="9" fontId="3" fillId="0" borderId="7" xfId="0" applyNumberFormat="1" applyFont="1" applyBorder="1"/>
    <xf numFmtId="4" fontId="3" fillId="25" borderId="0" xfId="0" applyNumberFormat="1" applyFont="1" applyFill="1"/>
    <xf numFmtId="177" fontId="3" fillId="0" borderId="0" xfId="0" applyNumberFormat="1" applyFont="1"/>
    <xf numFmtId="0" fontId="15" fillId="6" borderId="0" xfId="0" applyFont="1" applyFill="1" applyAlignment="1">
      <alignment horizontal="center" vertical="center" wrapText="1"/>
    </xf>
    <xf numFmtId="1" fontId="19" fillId="0" borderId="0" xfId="0" applyNumberFormat="1" applyFont="1"/>
    <xf numFmtId="0" fontId="4" fillId="2" borderId="1" xfId="0" applyFont="1" applyFill="1" applyBorder="1" applyAlignment="1">
      <alignment horizontal="center" vertical="top" wrapText="1" readingOrder="1"/>
    </xf>
    <xf numFmtId="9" fontId="7" fillId="2" borderId="1" xfId="0" applyNumberFormat="1" applyFont="1" applyFill="1" applyBorder="1" applyAlignment="1">
      <alignment horizontal="center" vertical="top" wrapText="1" readingOrder="1"/>
    </xf>
    <xf numFmtId="9" fontId="4" fillId="2" borderId="1" xfId="0" applyNumberFormat="1" applyFont="1" applyFill="1" applyBorder="1" applyAlignment="1">
      <alignment horizontal="center" vertical="top" wrapText="1" readingOrder="1"/>
    </xf>
    <xf numFmtId="178" fontId="3" fillId="0" borderId="0" xfId="13" applyNumberFormat="1" applyFont="1"/>
    <xf numFmtId="178" fontId="9" fillId="27" borderId="7" xfId="13" applyNumberFormat="1" applyFont="1" applyFill="1" applyBorder="1" applyAlignment="1">
      <alignment horizontal="center" wrapText="1"/>
    </xf>
    <xf numFmtId="0" fontId="12" fillId="0" borderId="0" xfId="0" applyFont="1" applyAlignment="1">
      <alignment horizontal="left" vertical="top" wrapText="1" readingOrder="1"/>
    </xf>
    <xf numFmtId="0" fontId="22" fillId="0" borderId="0" xfId="0" applyFont="1" applyAlignment="1">
      <alignment horizontal="left" vertical="top" wrapText="1" readingOrder="1"/>
    </xf>
    <xf numFmtId="0" fontId="3" fillId="0" borderId="1" xfId="0" quotePrefix="1" applyFont="1" applyBorder="1"/>
    <xf numFmtId="0" fontId="5" fillId="0" borderId="0" xfId="0" applyFont="1" applyAlignment="1">
      <alignment horizontal="left" vertical="top" wrapText="1" readingOrder="1"/>
    </xf>
    <xf numFmtId="0" fontId="5" fillId="0" borderId="0" xfId="0" quotePrefix="1" applyFont="1" applyAlignment="1">
      <alignment horizontal="left" vertical="top" wrapText="1" readingOrder="1"/>
    </xf>
    <xf numFmtId="0" fontId="3" fillId="0" borderId="1" xfId="0" quotePrefix="1" applyFont="1" applyBorder="1" applyAlignment="1">
      <alignment horizontal="left"/>
    </xf>
    <xf numFmtId="0" fontId="23" fillId="0" borderId="0" xfId="0" applyFont="1" applyAlignment="1">
      <alignment horizontal="left" vertical="top" wrapText="1" readingOrder="1"/>
    </xf>
    <xf numFmtId="0" fontId="12" fillId="0" borderId="0" xfId="0" applyFont="1" applyAlignment="1">
      <alignment vertical="top" wrapText="1" readingOrder="1"/>
    </xf>
    <xf numFmtId="0" fontId="22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23" fillId="0" borderId="0" xfId="0" applyFont="1" applyAlignment="1">
      <alignment vertical="top" wrapText="1" readingOrder="1"/>
    </xf>
    <xf numFmtId="0" fontId="3" fillId="20" borderId="1" xfId="0" applyFont="1" applyFill="1" applyBorder="1"/>
    <xf numFmtId="14" fontId="3" fillId="0" borderId="7" xfId="0" applyNumberFormat="1" applyFont="1" applyBorder="1"/>
    <xf numFmtId="0" fontId="37" fillId="26" borderId="1" xfId="0" applyFont="1" applyFill="1" applyBorder="1" applyAlignment="1">
      <alignment vertical="center" wrapText="1" readingOrder="1"/>
    </xf>
    <xf numFmtId="0" fontId="37" fillId="26" borderId="1" xfId="0" applyFont="1" applyFill="1" applyBorder="1" applyAlignment="1">
      <alignment horizontal="right" vertical="center" wrapText="1" readingOrder="1"/>
    </xf>
    <xf numFmtId="0" fontId="38" fillId="0" borderId="1" xfId="0" applyFont="1" applyBorder="1" applyAlignment="1">
      <alignment vertical="center" wrapText="1" readingOrder="1"/>
    </xf>
    <xf numFmtId="173" fontId="38" fillId="0" borderId="1" xfId="0" applyNumberFormat="1" applyFont="1" applyBorder="1" applyAlignment="1">
      <alignment horizontal="right" vertical="center" wrapText="1" readingOrder="1"/>
    </xf>
    <xf numFmtId="0" fontId="3" fillId="33" borderId="0" xfId="0" applyFont="1" applyFill="1"/>
    <xf numFmtId="1" fontId="3" fillId="33" borderId="0" xfId="0" applyNumberFormat="1" applyFont="1" applyFill="1"/>
    <xf numFmtId="43" fontId="3" fillId="0" borderId="7" xfId="2" applyFont="1" applyBorder="1"/>
    <xf numFmtId="9" fontId="3" fillId="0" borderId="7" xfId="2" applyNumberFormat="1" applyFont="1" applyBorder="1"/>
    <xf numFmtId="179" fontId="10" fillId="0" borderId="0" xfId="0" applyNumberFormat="1" applyFont="1"/>
    <xf numFmtId="0" fontId="3" fillId="34" borderId="0" xfId="0" applyFont="1" applyFill="1"/>
    <xf numFmtId="0" fontId="5" fillId="0" borderId="36" xfId="7" applyFont="1" applyBorder="1" applyAlignment="1">
      <alignment vertical="top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14" fontId="4" fillId="2" borderId="7" xfId="0" applyNumberFormat="1" applyFont="1" applyFill="1" applyBorder="1" applyAlignment="1">
      <alignment horizontal="center" vertical="center" wrapText="1" readingOrder="1"/>
    </xf>
    <xf numFmtId="0" fontId="5" fillId="6" borderId="7" xfId="7" applyFont="1" applyFill="1" applyBorder="1" applyAlignment="1">
      <alignment horizontal="center" vertical="center" wrapText="1" readingOrder="1"/>
    </xf>
    <xf numFmtId="0" fontId="4" fillId="24" borderId="7" xfId="7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7" fillId="35" borderId="1" xfId="0" applyFont="1" applyFill="1" applyBorder="1" applyAlignment="1">
      <alignment vertical="center" wrapText="1" readingOrder="1"/>
    </xf>
    <xf numFmtId="173" fontId="27" fillId="35" borderId="1" xfId="0" applyNumberFormat="1" applyFont="1" applyFill="1" applyBorder="1" applyAlignment="1">
      <alignment horizontal="right" vertical="center" wrapText="1" readingOrder="1"/>
    </xf>
    <xf numFmtId="176" fontId="27" fillId="35" borderId="1" xfId="0" applyNumberFormat="1" applyFont="1" applyFill="1" applyBorder="1" applyAlignment="1">
      <alignment horizontal="center" vertical="center" wrapText="1" readingOrder="1"/>
    </xf>
    <xf numFmtId="0" fontId="3" fillId="35" borderId="0" xfId="0" applyFont="1" applyFill="1"/>
    <xf numFmtId="0" fontId="39" fillId="0" borderId="26" xfId="0" applyFont="1" applyBorder="1" applyAlignment="1">
      <alignment vertical="center" wrapText="1" readingOrder="1"/>
    </xf>
    <xf numFmtId="0" fontId="40" fillId="0" borderId="0" xfId="0" applyFont="1"/>
    <xf numFmtId="9" fontId="15" fillId="9" borderId="21" xfId="0" applyNumberFormat="1" applyFont="1" applyFill="1" applyBorder="1" applyAlignment="1">
      <alignment horizontal="center" vertical="center" wrapText="1"/>
    </xf>
    <xf numFmtId="165" fontId="41" fillId="0" borderId="0" xfId="8" quotePrefix="1" applyFont="1" applyFill="1" applyBorder="1"/>
    <xf numFmtId="166" fontId="41" fillId="0" borderId="0" xfId="8" quotePrefix="1" applyNumberFormat="1" applyFont="1" applyFill="1" applyBorder="1"/>
    <xf numFmtId="170" fontId="26" fillId="0" borderId="26" xfId="0" applyNumberFormat="1" applyFont="1" applyBorder="1" applyAlignment="1">
      <alignment horizontal="right" vertical="center" wrapText="1" readingOrder="1"/>
    </xf>
    <xf numFmtId="171" fontId="26" fillId="0" borderId="26" xfId="0" applyNumberFormat="1" applyFont="1" applyBorder="1" applyAlignment="1">
      <alignment horizontal="center" vertical="center" wrapText="1" readingOrder="1"/>
    </xf>
    <xf numFmtId="172" fontId="26" fillId="0" borderId="26" xfId="0" applyNumberFormat="1" applyFont="1" applyBorder="1" applyAlignment="1">
      <alignment horizontal="right" vertical="center" wrapText="1" readingOrder="1"/>
    </xf>
    <xf numFmtId="173" fontId="26" fillId="0" borderId="26" xfId="0" applyNumberFormat="1" applyFont="1" applyBorder="1" applyAlignment="1">
      <alignment horizontal="right" vertical="center" wrapText="1" readingOrder="1"/>
    </xf>
    <xf numFmtId="0" fontId="13" fillId="0" borderId="0" xfId="14"/>
    <xf numFmtId="0" fontId="13" fillId="0" borderId="29" xfId="14" applyBorder="1"/>
    <xf numFmtId="0" fontId="13" fillId="0" borderId="0" xfId="14" applyAlignment="1">
      <alignment horizontal="center"/>
    </xf>
    <xf numFmtId="175" fontId="0" fillId="0" borderId="30" xfId="15" applyNumberFormat="1" applyFont="1" applyBorder="1"/>
    <xf numFmtId="0" fontId="3" fillId="0" borderId="0" xfId="14" applyFont="1"/>
    <xf numFmtId="1" fontId="3" fillId="0" borderId="0" xfId="14" applyNumberFormat="1" applyFont="1"/>
    <xf numFmtId="0" fontId="9" fillId="0" borderId="0" xfId="14" applyFont="1" applyAlignment="1">
      <alignment horizontal="left"/>
    </xf>
    <xf numFmtId="0" fontId="13" fillId="0" borderId="31" xfId="14" applyBorder="1"/>
    <xf numFmtId="0" fontId="13" fillId="0" borderId="32" xfId="14" applyBorder="1" applyAlignment="1">
      <alignment horizontal="center"/>
    </xf>
    <xf numFmtId="175" fontId="0" fillId="0" borderId="33" xfId="15" applyNumberFormat="1" applyFont="1" applyBorder="1"/>
    <xf numFmtId="0" fontId="13" fillId="0" borderId="7" xfId="14" applyBorder="1"/>
    <xf numFmtId="0" fontId="13" fillId="0" borderId="7" xfId="14" applyBorder="1" applyAlignment="1">
      <alignment horizontal="center"/>
    </xf>
    <xf numFmtId="0" fontId="25" fillId="22" borderId="26" xfId="14" applyFont="1" applyFill="1" applyBorder="1" applyAlignment="1">
      <alignment horizontal="center" vertical="center" wrapText="1" readingOrder="1"/>
    </xf>
    <xf numFmtId="0" fontId="26" fillId="0" borderId="26" xfId="16" applyFont="1" applyBorder="1" applyAlignment="1">
      <alignment horizontal="right" vertical="center" wrapText="1" readingOrder="1"/>
    </xf>
    <xf numFmtId="0" fontId="26" fillId="0" borderId="26" xfId="16" applyFont="1" applyBorder="1" applyAlignment="1">
      <alignment horizontal="left" vertical="center" wrapText="1" readingOrder="1"/>
    </xf>
    <xf numFmtId="172" fontId="26" fillId="0" borderId="26" xfId="16" applyNumberFormat="1" applyFont="1" applyBorder="1" applyAlignment="1">
      <alignment horizontal="right" vertical="center" wrapText="1" readingOrder="1"/>
    </xf>
    <xf numFmtId="1" fontId="13" fillId="0" borderId="0" xfId="14" applyNumberFormat="1"/>
    <xf numFmtId="14" fontId="9" fillId="3" borderId="7" xfId="0" applyNumberFormat="1" applyFont="1" applyFill="1" applyBorder="1" applyAlignment="1">
      <alignment horizontal="center"/>
    </xf>
    <xf numFmtId="14" fontId="27" fillId="0" borderId="0" xfId="0" applyNumberFormat="1" applyFont="1" applyAlignment="1">
      <alignment vertical="center" wrapText="1" readingOrder="1"/>
    </xf>
    <xf numFmtId="168" fontId="0" fillId="21" borderId="0" xfId="0" applyNumberFormat="1" applyFill="1"/>
    <xf numFmtId="49" fontId="3" fillId="0" borderId="0" xfId="0" applyNumberFormat="1" applyFont="1" applyAlignment="1">
      <alignment horizontal="left"/>
    </xf>
    <xf numFmtId="49" fontId="27" fillId="0" borderId="1" xfId="0" applyNumberFormat="1" applyFont="1" applyBorder="1" applyAlignment="1">
      <alignment vertical="center" wrapText="1" readingOrder="1"/>
    </xf>
    <xf numFmtId="49" fontId="3" fillId="0" borderId="0" xfId="0" applyNumberFormat="1" applyFont="1"/>
    <xf numFmtId="1" fontId="3" fillId="0" borderId="0" xfId="0" quotePrefix="1" applyNumberFormat="1" applyFont="1" applyAlignment="1">
      <alignment horizontal="left"/>
    </xf>
    <xf numFmtId="0" fontId="3" fillId="36" borderId="0" xfId="0" applyFont="1" applyFill="1"/>
    <xf numFmtId="173" fontId="3" fillId="37" borderId="0" xfId="0" applyNumberFormat="1" applyFont="1" applyFill="1"/>
    <xf numFmtId="0" fontId="43" fillId="0" borderId="0" xfId="0" applyFont="1"/>
    <xf numFmtId="166" fontId="18" fillId="37" borderId="24" xfId="2" applyNumberFormat="1" applyFont="1" applyFill="1" applyBorder="1" applyAlignment="1">
      <alignment vertical="center"/>
    </xf>
    <xf numFmtId="166" fontId="44" fillId="31" borderId="1" xfId="8" applyNumberFormat="1" applyFont="1" applyFill="1" applyBorder="1" applyAlignment="1" applyProtection="1">
      <alignment horizontal="center" vertical="center" wrapText="1" readingOrder="1"/>
      <protection locked="0"/>
    </xf>
    <xf numFmtId="175" fontId="21" fillId="31" borderId="1" xfId="2" applyNumberFormat="1" applyFont="1" applyFill="1" applyBorder="1" applyAlignment="1" applyProtection="1">
      <alignment horizontal="center" vertical="center" wrapText="1" readingOrder="1"/>
      <protection locked="0"/>
    </xf>
    <xf numFmtId="0" fontId="45" fillId="38" borderId="0" xfId="0" applyFont="1" applyFill="1" applyAlignment="1">
      <alignment horizontal="center" vertical="center" wrapText="1"/>
    </xf>
    <xf numFmtId="0" fontId="12" fillId="10" borderId="1" xfId="0" applyFont="1" applyFill="1" applyBorder="1" applyAlignment="1">
      <alignment vertical="top" wrapText="1" readingOrder="1"/>
    </xf>
    <xf numFmtId="0" fontId="3" fillId="10" borderId="0" xfId="0" applyFont="1" applyFill="1"/>
    <xf numFmtId="0" fontId="11" fillId="10" borderId="0" xfId="0" applyFont="1" applyFill="1"/>
    <xf numFmtId="0" fontId="35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vertical="center" wrapText="1"/>
    </xf>
    <xf numFmtId="0" fontId="46" fillId="20" borderId="0" xfId="0" applyFont="1" applyFill="1" applyAlignment="1">
      <alignment vertical="center" wrapText="1"/>
    </xf>
    <xf numFmtId="0" fontId="3" fillId="20" borderId="7" xfId="0" applyFont="1" applyFill="1" applyBorder="1"/>
    <xf numFmtId="49" fontId="3" fillId="20" borderId="0" xfId="0" quotePrefix="1" applyNumberFormat="1" applyFont="1" applyFill="1" applyAlignment="1">
      <alignment horizontal="left"/>
    </xf>
    <xf numFmtId="2" fontId="3" fillId="20" borderId="0" xfId="0" applyNumberFormat="1" applyFont="1" applyFill="1"/>
    <xf numFmtId="0" fontId="48" fillId="0" borderId="0" xfId="14" applyFont="1" applyAlignment="1">
      <alignment vertical="top" wrapText="1" readingOrder="1"/>
    </xf>
    <xf numFmtId="172" fontId="48" fillId="0" borderId="0" xfId="14" applyNumberFormat="1" applyFont="1" applyAlignment="1">
      <alignment horizontal="right" vertical="top" wrapText="1" readingOrder="1"/>
    </xf>
    <xf numFmtId="0" fontId="49" fillId="0" borderId="0" xfId="0" applyFont="1" applyAlignment="1">
      <alignment vertical="center"/>
    </xf>
    <xf numFmtId="0" fontId="0" fillId="20" borderId="0" xfId="0" applyFill="1"/>
    <xf numFmtId="1" fontId="34" fillId="0" borderId="0" xfId="0" applyNumberFormat="1" applyFont="1"/>
    <xf numFmtId="0" fontId="33" fillId="0" borderId="0" xfId="0" applyFont="1"/>
    <xf numFmtId="174" fontId="33" fillId="0" borderId="0" xfId="0" applyNumberFormat="1" applyFont="1"/>
    <xf numFmtId="178" fontId="10" fillId="0" borderId="0" xfId="13" applyNumberFormat="1" applyFont="1" applyFill="1"/>
    <xf numFmtId="178" fontId="3" fillId="0" borderId="0" xfId="13" applyNumberFormat="1" applyFont="1" applyFill="1"/>
    <xf numFmtId="0" fontId="0" fillId="0" borderId="11" xfId="0" applyBorder="1" applyProtection="1">
      <protection locked="0"/>
    </xf>
    <xf numFmtId="49" fontId="0" fillId="0" borderId="11" xfId="0" applyNumberFormat="1" applyBorder="1" applyProtection="1">
      <protection locked="0"/>
    </xf>
    <xf numFmtId="167" fontId="0" fillId="0" borderId="11" xfId="0" applyNumberFormat="1" applyBorder="1" applyProtection="1">
      <protection locked="0"/>
    </xf>
    <xf numFmtId="168" fontId="0" fillId="0" borderId="11" xfId="0" applyNumberFormat="1" applyBorder="1" applyProtection="1">
      <protection locked="0"/>
    </xf>
    <xf numFmtId="10" fontId="0" fillId="0" borderId="11" xfId="0" applyNumberFormat="1" applyBorder="1" applyProtection="1">
      <protection locked="0"/>
    </xf>
    <xf numFmtId="168" fontId="6" fillId="0" borderId="1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168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68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49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10" fontId="6" fillId="0" borderId="0" xfId="0" applyNumberFormat="1" applyFont="1" applyProtection="1">
      <protection locked="0"/>
    </xf>
    <xf numFmtId="0" fontId="50" fillId="0" borderId="26" xfId="0" applyFont="1" applyBorder="1" applyAlignment="1">
      <alignment vertical="top" wrapText="1" readingOrder="1"/>
    </xf>
    <xf numFmtId="0" fontId="50" fillId="0" borderId="37" xfId="0" applyFont="1" applyBorder="1" applyAlignment="1">
      <alignment vertical="top" wrapText="1" readingOrder="1"/>
    </xf>
    <xf numFmtId="0" fontId="3" fillId="0" borderId="37" xfId="0" applyFont="1" applyBorder="1" applyAlignment="1">
      <alignment vertical="top" wrapText="1"/>
    </xf>
    <xf numFmtId="0" fontId="50" fillId="0" borderId="26" xfId="0" applyFont="1" applyBorder="1" applyAlignment="1">
      <alignment horizontal="left" vertical="top" wrapText="1" readingOrder="1"/>
    </xf>
    <xf numFmtId="0" fontId="50" fillId="0" borderId="26" xfId="0" applyFont="1" applyBorder="1" applyAlignment="1">
      <alignment horizontal="right" vertical="top" wrapText="1" readingOrder="1"/>
    </xf>
    <xf numFmtId="180" fontId="50" fillId="0" borderId="26" xfId="0" applyNumberFormat="1" applyFont="1" applyBorder="1" applyAlignment="1">
      <alignment horizontal="right" vertical="top" wrapText="1" readingOrder="1"/>
    </xf>
    <xf numFmtId="180" fontId="51" fillId="0" borderId="26" xfId="0" applyNumberFormat="1" applyFont="1" applyBorder="1" applyAlignment="1">
      <alignment horizontal="right" vertical="top" wrapText="1" readingOrder="1"/>
    </xf>
    <xf numFmtId="174" fontId="11" fillId="0" borderId="0" xfId="0" applyNumberFormat="1" applyFont="1"/>
    <xf numFmtId="43" fontId="0" fillId="0" borderId="0" xfId="2" applyFont="1"/>
    <xf numFmtId="43" fontId="11" fillId="0" borderId="0" xfId="2" applyFont="1"/>
    <xf numFmtId="0" fontId="31" fillId="39" borderId="7" xfId="0" applyFont="1" applyFill="1" applyBorder="1" applyProtection="1">
      <protection locked="0"/>
    </xf>
    <xf numFmtId="0" fontId="31" fillId="38" borderId="7" xfId="0" applyFont="1" applyFill="1" applyBorder="1" applyProtection="1">
      <protection locked="0"/>
    </xf>
    <xf numFmtId="0" fontId="31" fillId="11" borderId="7" xfId="0" applyFont="1" applyFill="1" applyBorder="1" applyProtection="1">
      <protection locked="0"/>
    </xf>
    <xf numFmtId="0" fontId="31" fillId="40" borderId="7" xfId="0" applyFont="1" applyFill="1" applyBorder="1" applyProtection="1">
      <protection locked="0"/>
    </xf>
    <xf numFmtId="0" fontId="3" fillId="0" borderId="28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9" fillId="27" borderId="7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11" fillId="0" borderId="0" xfId="0" applyFont="1"/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175" fontId="9" fillId="0" borderId="0" xfId="2" applyNumberFormat="1" applyFont="1" applyAlignment="1">
      <alignment horizontal="center" wrapText="1"/>
    </xf>
  </cellXfs>
  <cellStyles count="17">
    <cellStyle name="Millares" xfId="2" builtinId="3"/>
    <cellStyle name="Millares [0]" xfId="3" builtinId="6"/>
    <cellStyle name="Millares 2" xfId="8" xr:uid="{4D3C01CF-769A-4DA5-8FBB-78FAC44BC5F6}"/>
    <cellStyle name="Millares 2 2" xfId="12" xr:uid="{0D03AB82-19B3-40F6-A767-980EF4405583}"/>
    <cellStyle name="Millares 2 3" xfId="15" xr:uid="{7CCB4EA5-B1F7-43DB-B9DA-B4588228ABDA}"/>
    <cellStyle name="Millares 3" xfId="10" xr:uid="{DC1C8970-F731-404F-8E27-2520BB69E9B4}"/>
    <cellStyle name="Moneda" xfId="13" builtinId="4"/>
    <cellStyle name="Normal" xfId="0" builtinId="0"/>
    <cellStyle name="Normal 109" xfId="6" xr:uid="{8E2EC639-5412-4A97-AD08-2977C7029080}"/>
    <cellStyle name="Normal 2" xfId="1" xr:uid="{4FEA2AE0-F0B3-43E3-AF2B-6697A4180DA9}"/>
    <cellStyle name="Normal 2 2" xfId="14" xr:uid="{C37A591E-A67F-43A9-9841-0351802C1B17}"/>
    <cellStyle name="Normal 2 2 2 2" xfId="4" xr:uid="{ADA8BE6A-9219-4850-B4A3-3CCEAAC2F8C6}"/>
    <cellStyle name="Normal 2 4" xfId="9" xr:uid="{97B203C2-AC03-4667-B521-F0F958300ADF}"/>
    <cellStyle name="Normal 2 4 2" xfId="11" xr:uid="{C98BC008-7724-4C2A-9FB5-AA03109D4222}"/>
    <cellStyle name="Normal 3" xfId="5" xr:uid="{09A31AD7-F3C9-4B06-AE16-75A22212747D}"/>
    <cellStyle name="Normal 4" xfId="7" xr:uid="{54FBD2C1-241A-44A8-88B3-DC922C7DC3B4}"/>
    <cellStyle name="Normal 5" xfId="16" xr:uid="{468A6B6A-BA5B-4451-ACFA-E5904AF7096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1F4763"/>
      <rgbColor rgb="00D3D3D3"/>
      <rgbColor rgb="0090EE90"/>
      <rgbColor rgb="00FF6347"/>
      <rgbColor rgb="00DCFAFA"/>
      <rgbColor rgb="00F0E68C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0F20"/>
      <color rgb="FF99FFCC"/>
      <color rgb="FF99CCFF"/>
      <color rgb="FFFFFF99"/>
      <color rgb="FFFEA2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E539-94FE-425A-8B4F-921887EEDB06}">
  <dimension ref="A1:AK371"/>
  <sheetViews>
    <sheetView topLeftCell="A345" zoomScale="93" zoomScaleNormal="93" workbookViewId="0">
      <pane xSplit="1" topLeftCell="B1" activePane="topRight" state="frozen"/>
      <selection pane="topRight" activeCell="H361" sqref="H361"/>
    </sheetView>
  </sheetViews>
  <sheetFormatPr baseColWidth="10" defaultRowHeight="14.4" x14ac:dyDescent="0.3"/>
  <cols>
    <col min="2" max="2" width="11.33203125" customWidth="1"/>
    <col min="3" max="3" width="33.33203125" customWidth="1"/>
    <col min="4" max="18" width="11.33203125" customWidth="1"/>
    <col min="19" max="19" width="14.5546875" bestFit="1" customWidth="1"/>
    <col min="20" max="20" width="11.33203125" customWidth="1"/>
    <col min="21" max="21" width="15.21875" style="62" customWidth="1"/>
    <col min="22" max="23" width="15.33203125" style="62" customWidth="1"/>
    <col min="24" max="24" width="11.6640625" style="62" customWidth="1"/>
    <col min="25" max="25" width="14.21875" style="62" customWidth="1"/>
    <col min="26" max="26" width="11.6640625" style="62" customWidth="1"/>
    <col min="27" max="27" width="11.77734375" style="62" customWidth="1"/>
    <col min="28" max="28" width="10.88671875" style="62" customWidth="1"/>
    <col min="31" max="31" width="5.33203125" customWidth="1"/>
  </cols>
  <sheetData>
    <row r="1" spans="1:37" ht="15" thickBot="1" x14ac:dyDescent="0.35">
      <c r="A1" s="41" t="s">
        <v>139</v>
      </c>
      <c r="B1" s="29"/>
      <c r="C1" s="3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31"/>
      <c r="T1" s="31"/>
      <c r="U1" s="65"/>
      <c r="V1" s="65"/>
      <c r="W1" s="65"/>
      <c r="X1" s="65"/>
      <c r="Y1" s="65"/>
      <c r="Z1" s="65"/>
      <c r="AA1" s="65"/>
      <c r="AB1" s="65"/>
      <c r="AC1" s="31"/>
      <c r="AD1" s="31"/>
    </row>
    <row r="2" spans="1:37" ht="31.2" thickBot="1" x14ac:dyDescent="0.35">
      <c r="A2" s="32" t="s">
        <v>0</v>
      </c>
      <c r="B2" s="32" t="s">
        <v>101</v>
      </c>
      <c r="C2" s="32" t="s">
        <v>102</v>
      </c>
      <c r="D2" s="32" t="s">
        <v>104</v>
      </c>
      <c r="E2" s="32" t="s">
        <v>166</v>
      </c>
      <c r="F2" s="32" t="s">
        <v>151</v>
      </c>
      <c r="G2" s="32" t="s">
        <v>152</v>
      </c>
      <c r="H2" s="32" t="s">
        <v>140</v>
      </c>
      <c r="I2" s="32" t="s">
        <v>141</v>
      </c>
      <c r="J2" s="32" t="s">
        <v>142</v>
      </c>
      <c r="K2" s="32" t="s">
        <v>143</v>
      </c>
      <c r="L2" s="32" t="s">
        <v>291</v>
      </c>
      <c r="M2" s="32" t="s">
        <v>144</v>
      </c>
      <c r="N2" s="202">
        <v>0.7</v>
      </c>
      <c r="O2" s="32" t="s">
        <v>145</v>
      </c>
      <c r="P2" s="33" t="s">
        <v>146</v>
      </c>
      <c r="Q2" s="32" t="s">
        <v>147</v>
      </c>
      <c r="R2" s="32" t="s">
        <v>148</v>
      </c>
      <c r="S2" s="34" t="s">
        <v>149</v>
      </c>
      <c r="T2" s="32" t="s">
        <v>164</v>
      </c>
      <c r="U2" s="63" t="s">
        <v>39</v>
      </c>
      <c r="V2" s="63" t="s">
        <v>160</v>
      </c>
      <c r="W2" s="63" t="s">
        <v>95</v>
      </c>
      <c r="X2" s="63" t="s">
        <v>40</v>
      </c>
      <c r="Y2" s="63" t="s">
        <v>161</v>
      </c>
      <c r="Z2" s="63" t="s">
        <v>95</v>
      </c>
      <c r="AA2" s="66" t="s">
        <v>167</v>
      </c>
      <c r="AB2" s="63" t="s">
        <v>150</v>
      </c>
      <c r="AC2" s="35" t="s">
        <v>162</v>
      </c>
      <c r="AD2" s="35" t="s">
        <v>95</v>
      </c>
      <c r="AF2" s="35" t="s">
        <v>2749</v>
      </c>
      <c r="AG2" s="35" t="s">
        <v>2750</v>
      </c>
      <c r="AH2" s="35" t="s">
        <v>146</v>
      </c>
      <c r="AJ2" s="35" t="s">
        <v>3248</v>
      </c>
      <c r="AK2" t="s">
        <v>99</v>
      </c>
    </row>
    <row r="3" spans="1:37" x14ac:dyDescent="0.3">
      <c r="A3" s="81">
        <v>20031311</v>
      </c>
      <c r="B3" s="5">
        <v>46377202</v>
      </c>
      <c r="C3" s="36" t="s">
        <v>730</v>
      </c>
      <c r="D3" s="36" t="s">
        <v>3344</v>
      </c>
      <c r="E3" s="39">
        <v>31</v>
      </c>
      <c r="F3" s="37">
        <v>1</v>
      </c>
      <c r="G3" s="37">
        <v>0</v>
      </c>
      <c r="H3" s="38">
        <v>30725865</v>
      </c>
      <c r="I3" s="39">
        <v>21508106</v>
      </c>
      <c r="J3" s="38">
        <v>921700</v>
      </c>
      <c r="K3" s="39">
        <v>31647565</v>
      </c>
      <c r="L3" s="39">
        <v>12659026</v>
      </c>
      <c r="M3" s="39"/>
      <c r="N3" s="39"/>
      <c r="O3" s="39"/>
      <c r="P3" s="38">
        <v>18468313</v>
      </c>
      <c r="Q3" s="39">
        <v>615610</v>
      </c>
      <c r="R3" s="39">
        <v>0</v>
      </c>
      <c r="S3" s="40"/>
      <c r="T3" s="38"/>
      <c r="U3" s="40"/>
      <c r="V3" s="40">
        <v>884948</v>
      </c>
      <c r="W3" s="42"/>
      <c r="X3" s="40"/>
      <c r="Y3" s="40">
        <v>884948</v>
      </c>
      <c r="Z3" s="42"/>
      <c r="AA3" s="40"/>
      <c r="AB3" s="40"/>
      <c r="AC3" s="40">
        <v>221400</v>
      </c>
      <c r="AD3" s="42"/>
      <c r="AF3">
        <f>VLOOKUP(A3,Devengos!$A$4:$I$389,9,0)</f>
        <v>22761765.833299998</v>
      </c>
      <c r="AG3">
        <f t="shared" ref="AG3" si="1">IF(D3="Integral",ROUND(AF3*70%,0),AF3)</f>
        <v>15933236</v>
      </c>
      <c r="AH3">
        <f>IFERROR(VLOOKUP(B3,'Planilla Mes anterior'!$CX:$CY,2,0),0)</f>
        <v>18468313</v>
      </c>
      <c r="AJ3" s="95">
        <v>0</v>
      </c>
    </row>
    <row r="4" spans="1:37" x14ac:dyDescent="0.3">
      <c r="A4" s="81">
        <v>20032632</v>
      </c>
      <c r="B4" s="5">
        <v>1020846764.9999999</v>
      </c>
      <c r="C4" s="36" t="s">
        <v>757</v>
      </c>
      <c r="D4" s="36" t="s">
        <v>3344</v>
      </c>
      <c r="E4" s="39">
        <v>30</v>
      </c>
      <c r="F4" s="37">
        <v>0</v>
      </c>
      <c r="G4" s="37">
        <v>0</v>
      </c>
      <c r="H4" s="38">
        <v>22761765</v>
      </c>
      <c r="I4" s="39">
        <v>15933235</v>
      </c>
      <c r="J4" s="38">
        <v>859700</v>
      </c>
      <c r="K4" s="39">
        <v>23621465</v>
      </c>
      <c r="L4" s="39">
        <v>9448586</v>
      </c>
      <c r="M4" s="39"/>
      <c r="N4" s="39"/>
      <c r="O4" s="39"/>
      <c r="P4" s="38">
        <v>15933236</v>
      </c>
      <c r="Q4" s="39">
        <v>0</v>
      </c>
      <c r="R4" s="39">
        <v>0</v>
      </c>
      <c r="S4" s="40"/>
      <c r="T4" s="38"/>
      <c r="U4" s="40"/>
      <c r="V4" s="40">
        <v>637329</v>
      </c>
      <c r="W4" s="42"/>
      <c r="X4" s="40"/>
      <c r="Y4" s="40">
        <v>637329</v>
      </c>
      <c r="Z4" s="42"/>
      <c r="AA4" s="40"/>
      <c r="AB4" s="40"/>
      <c r="AC4" s="40">
        <v>159400</v>
      </c>
      <c r="AD4" s="42"/>
      <c r="AF4">
        <f>VLOOKUP(A4,Devengos!$A$4:$I$389,9,0)</f>
        <v>22761765</v>
      </c>
      <c r="AG4">
        <f t="shared" ref="AG4:AG67" si="14">IF(D4="Integral",ROUND(AF4*70%,0),AF4)</f>
        <v>15933236</v>
      </c>
      <c r="AH4">
        <f>IFERROR(VLOOKUP(B4,'Planilla Mes anterior'!$CX:$CY,2,0),0)</f>
        <v>15933236</v>
      </c>
      <c r="AJ4" s="95">
        <v>0</v>
      </c>
    </row>
    <row r="5" spans="1:37" x14ac:dyDescent="0.3">
      <c r="A5" s="81">
        <v>20032638</v>
      </c>
      <c r="B5" s="5">
        <v>94416294</v>
      </c>
      <c r="C5" s="36" t="s">
        <v>765</v>
      </c>
      <c r="D5" s="36" t="s">
        <v>3344</v>
      </c>
      <c r="E5" s="39">
        <v>31</v>
      </c>
      <c r="F5" s="37">
        <v>0</v>
      </c>
      <c r="G5" s="37">
        <v>0</v>
      </c>
      <c r="H5" s="38">
        <v>42589681</v>
      </c>
      <c r="I5" s="39">
        <v>29812777</v>
      </c>
      <c r="J5" s="38">
        <v>2288938</v>
      </c>
      <c r="K5" s="39">
        <v>44878619</v>
      </c>
      <c r="L5" s="39">
        <v>17951448</v>
      </c>
      <c r="M5" s="39"/>
      <c r="N5" s="39"/>
      <c r="O5" s="39"/>
      <c r="P5" s="38">
        <v>28800088</v>
      </c>
      <c r="Q5" s="39">
        <v>0</v>
      </c>
      <c r="R5" s="39">
        <v>0</v>
      </c>
      <c r="S5" s="40"/>
      <c r="T5" s="38"/>
      <c r="U5" s="40"/>
      <c r="V5" s="40">
        <v>1192511</v>
      </c>
      <c r="W5" s="42"/>
      <c r="X5" s="40"/>
      <c r="Y5" s="40">
        <v>1192511</v>
      </c>
      <c r="Z5" s="42"/>
      <c r="AA5" s="40"/>
      <c r="AB5" s="40"/>
      <c r="AC5" s="40">
        <v>417500</v>
      </c>
      <c r="AD5" s="42"/>
      <c r="AF5">
        <f>VLOOKUP(A5,Devengos!$A$4:$I$389,9,0)</f>
        <v>33602815</v>
      </c>
      <c r="AG5">
        <f t="shared" si="14"/>
        <v>23521971</v>
      </c>
      <c r="AH5">
        <f>IFERROR(VLOOKUP(B5,'Planilla Mes anterior'!$CX:$CY,2,0),0)</f>
        <v>28800088</v>
      </c>
      <c r="AJ5" s="95">
        <v>0</v>
      </c>
    </row>
    <row r="6" spans="1:37" s="188" customFormat="1" x14ac:dyDescent="0.3">
      <c r="A6" s="81">
        <v>20032640</v>
      </c>
      <c r="B6" s="5">
        <v>51813374</v>
      </c>
      <c r="C6" s="36" t="s">
        <v>773</v>
      </c>
      <c r="D6" s="36" t="s">
        <v>3344</v>
      </c>
      <c r="E6" s="39">
        <v>31</v>
      </c>
      <c r="F6" s="37">
        <v>0</v>
      </c>
      <c r="G6" s="37">
        <v>0</v>
      </c>
      <c r="H6" s="38">
        <v>33430177</v>
      </c>
      <c r="I6" s="39">
        <v>23401124</v>
      </c>
      <c r="J6" s="38">
        <v>1065836</v>
      </c>
      <c r="K6" s="39">
        <v>34496013</v>
      </c>
      <c r="L6" s="39">
        <v>13798405</v>
      </c>
      <c r="M6" s="39"/>
      <c r="N6" s="39"/>
      <c r="O6" s="39"/>
      <c r="P6" s="38">
        <v>19218024</v>
      </c>
      <c r="Q6" s="39">
        <v>0</v>
      </c>
      <c r="R6" s="39">
        <v>0</v>
      </c>
      <c r="S6" s="40"/>
      <c r="T6" s="38"/>
      <c r="U6" s="40"/>
      <c r="V6" s="40">
        <v>936045</v>
      </c>
      <c r="W6" s="42"/>
      <c r="X6" s="40"/>
      <c r="Y6" s="40">
        <v>0</v>
      </c>
      <c r="Z6" s="42"/>
      <c r="AA6" s="40"/>
      <c r="AB6" s="40">
        <v>0</v>
      </c>
      <c r="AC6" s="40">
        <v>0</v>
      </c>
      <c r="AD6" s="42">
        <v>0</v>
      </c>
      <c r="AE6"/>
      <c r="AF6">
        <f>VLOOKUP(A6,Devengos!$A$4:$I$389,9,0)</f>
        <v>22819376</v>
      </c>
      <c r="AG6">
        <f t="shared" si="14"/>
        <v>15973563</v>
      </c>
      <c r="AH6">
        <f>IFERROR(VLOOKUP(B6,'Planilla Mes anterior'!$CX:$CY,2,0),0)</f>
        <v>19218024</v>
      </c>
      <c r="AJ6" s="95">
        <v>0</v>
      </c>
      <c r="AK6"/>
    </row>
    <row r="7" spans="1:37" x14ac:dyDescent="0.3">
      <c r="A7" s="81">
        <v>20032652</v>
      </c>
      <c r="B7" s="5">
        <v>98624466</v>
      </c>
      <c r="C7" s="36" t="s">
        <v>778</v>
      </c>
      <c r="D7" s="36" t="s">
        <v>3456</v>
      </c>
      <c r="E7" s="39">
        <v>30</v>
      </c>
      <c r="F7" s="37">
        <v>0</v>
      </c>
      <c r="G7" s="37">
        <v>2</v>
      </c>
      <c r="H7" s="38">
        <v>11096741</v>
      </c>
      <c r="I7" s="39">
        <v>11096741</v>
      </c>
      <c r="J7" s="38">
        <v>811300</v>
      </c>
      <c r="K7" s="39">
        <v>11908041</v>
      </c>
      <c r="L7" s="39">
        <v>4763216</v>
      </c>
      <c r="M7" s="39"/>
      <c r="N7" s="39"/>
      <c r="O7" s="39"/>
      <c r="P7" s="38">
        <v>11096741</v>
      </c>
      <c r="Q7" s="39">
        <v>0</v>
      </c>
      <c r="R7" s="39">
        <v>0</v>
      </c>
      <c r="S7" s="40"/>
      <c r="T7" s="38">
        <v>0</v>
      </c>
      <c r="U7" s="40"/>
      <c r="V7" s="40">
        <v>443869</v>
      </c>
      <c r="W7" s="42"/>
      <c r="X7" s="40"/>
      <c r="Y7" s="40">
        <v>443869</v>
      </c>
      <c r="Z7" s="42"/>
      <c r="AA7" s="40"/>
      <c r="AB7" s="40"/>
      <c r="AC7" s="40">
        <v>111000</v>
      </c>
      <c r="AD7" s="42"/>
      <c r="AF7">
        <f>VLOOKUP(A7,Devengos!$A$4:$I$389,9,0)</f>
        <v>11096741</v>
      </c>
      <c r="AG7">
        <f t="shared" si="14"/>
        <v>11096741</v>
      </c>
      <c r="AH7">
        <f>IFERROR(VLOOKUP(B7,'Planilla Mes anterior'!$CX:$CY,2,0),0)</f>
        <v>11096741</v>
      </c>
      <c r="AJ7" s="95">
        <v>0</v>
      </c>
    </row>
    <row r="8" spans="1:37" x14ac:dyDescent="0.3">
      <c r="A8" s="81">
        <v>20039921</v>
      </c>
      <c r="B8" s="5">
        <v>79864894</v>
      </c>
      <c r="C8" s="36" t="s">
        <v>793</v>
      </c>
      <c r="D8" s="36" t="s">
        <v>3456</v>
      </c>
      <c r="E8" s="39">
        <v>30</v>
      </c>
      <c r="F8" s="37">
        <v>0</v>
      </c>
      <c r="G8" s="37">
        <v>0</v>
      </c>
      <c r="H8" s="38">
        <v>12941846</v>
      </c>
      <c r="I8" s="39">
        <v>12941846</v>
      </c>
      <c r="J8" s="38">
        <v>829900</v>
      </c>
      <c r="K8" s="39">
        <v>13771746</v>
      </c>
      <c r="L8" s="39">
        <v>5508698</v>
      </c>
      <c r="M8" s="39"/>
      <c r="N8" s="39"/>
      <c r="O8" s="39"/>
      <c r="P8" s="38">
        <v>12941846</v>
      </c>
      <c r="Q8" s="39">
        <v>0</v>
      </c>
      <c r="R8" s="39">
        <v>0</v>
      </c>
      <c r="S8" s="40"/>
      <c r="T8" s="38">
        <v>0</v>
      </c>
      <c r="U8" s="40"/>
      <c r="V8" s="40">
        <v>517674</v>
      </c>
      <c r="W8" s="42"/>
      <c r="X8" s="40"/>
      <c r="Y8" s="40">
        <v>517674</v>
      </c>
      <c r="Z8" s="42"/>
      <c r="AA8" s="40"/>
      <c r="AB8" s="40"/>
      <c r="AC8" s="40">
        <v>129600</v>
      </c>
      <c r="AD8" s="42"/>
      <c r="AF8">
        <f>VLOOKUP(A8,Devengos!$A$4:$I$389,9,0)</f>
        <v>12941846</v>
      </c>
      <c r="AG8">
        <f t="shared" si="14"/>
        <v>12941846</v>
      </c>
      <c r="AH8">
        <f>IFERROR(VLOOKUP(B8,'Planilla Mes anterior'!$CX:$CY,2,0),0)</f>
        <v>12941846</v>
      </c>
      <c r="AJ8" s="95">
        <v>0</v>
      </c>
    </row>
    <row r="9" spans="1:37" x14ac:dyDescent="0.3">
      <c r="A9" s="81">
        <v>20042066</v>
      </c>
      <c r="B9" s="5">
        <v>94469034</v>
      </c>
      <c r="C9" s="36" t="s">
        <v>800</v>
      </c>
      <c r="D9" s="36" t="s">
        <v>3344</v>
      </c>
      <c r="E9" s="39">
        <v>42</v>
      </c>
      <c r="F9" s="37">
        <v>0</v>
      </c>
      <c r="G9" s="37">
        <v>11</v>
      </c>
      <c r="H9" s="38">
        <v>32559810</v>
      </c>
      <c r="I9" s="39">
        <v>22791867</v>
      </c>
      <c r="J9" s="38">
        <v>931900</v>
      </c>
      <c r="K9" s="39">
        <v>33491710</v>
      </c>
      <c r="L9" s="39">
        <v>13396684</v>
      </c>
      <c r="M9" s="39"/>
      <c r="N9" s="39"/>
      <c r="O9" s="39"/>
      <c r="P9" s="38">
        <v>24539605</v>
      </c>
      <c r="Q9" s="39">
        <v>0</v>
      </c>
      <c r="R9" s="39">
        <v>0</v>
      </c>
      <c r="S9" s="40">
        <v>23129376.600000001</v>
      </c>
      <c r="T9" s="38"/>
      <c r="U9" s="40">
        <v>925175.064</v>
      </c>
      <c r="V9" s="40">
        <v>925175</v>
      </c>
      <c r="W9" s="236">
        <v>0.0640000001</v>
      </c>
      <c r="X9" s="40"/>
      <c r="Y9" s="40">
        <v>925175</v>
      </c>
      <c r="Z9" s="42"/>
      <c r="AA9" s="40"/>
      <c r="AB9" s="40"/>
      <c r="AC9" s="40">
        <v>231600</v>
      </c>
      <c r="AD9" s="42"/>
      <c r="AF9">
        <f>VLOOKUP(A9,Devengos!$A$4:$I$389,9,0)</f>
        <v>30673334</v>
      </c>
      <c r="AG9">
        <f t="shared" si="14"/>
        <v>21471334</v>
      </c>
      <c r="AH9">
        <f>IFERROR(VLOOKUP(B9,'Planilla Mes anterior'!$CX:$CY,2,0),0)</f>
        <v>24539605</v>
      </c>
      <c r="AJ9" s="95">
        <v>0</v>
      </c>
      <c r="AK9" t="s">
        <v>4316</v>
      </c>
    </row>
    <row r="10" spans="1:37" x14ac:dyDescent="0.3">
      <c r="A10" s="81">
        <v>20047370</v>
      </c>
      <c r="B10" s="5">
        <v>1127577184</v>
      </c>
      <c r="C10" s="36" t="s">
        <v>807</v>
      </c>
      <c r="D10" s="36" t="s">
        <v>3344</v>
      </c>
      <c r="E10" s="39">
        <v>31</v>
      </c>
      <c r="F10" s="37">
        <v>0</v>
      </c>
      <c r="G10" s="37">
        <v>0</v>
      </c>
      <c r="H10" s="38">
        <v>29773237</v>
      </c>
      <c r="I10" s="39">
        <v>20841266</v>
      </c>
      <c r="J10" s="38">
        <v>1108900</v>
      </c>
      <c r="K10" s="39">
        <v>30882137</v>
      </c>
      <c r="L10" s="39">
        <v>12352855</v>
      </c>
      <c r="M10" s="39"/>
      <c r="N10" s="39"/>
      <c r="O10" s="39"/>
      <c r="P10" s="38">
        <v>18666001</v>
      </c>
      <c r="Q10" s="39">
        <v>0</v>
      </c>
      <c r="R10" s="39">
        <v>0</v>
      </c>
      <c r="S10" s="40"/>
      <c r="T10" s="38"/>
      <c r="U10" s="40"/>
      <c r="V10" s="40">
        <v>833651</v>
      </c>
      <c r="W10" s="42"/>
      <c r="X10" s="40"/>
      <c r="Y10" s="40">
        <v>833651</v>
      </c>
      <c r="Z10" s="42"/>
      <c r="AA10" s="40"/>
      <c r="AB10" s="40"/>
      <c r="AC10" s="40">
        <v>208600</v>
      </c>
      <c r="AD10" s="42"/>
      <c r="AF10">
        <f>VLOOKUP(A10,Devengos!$A$4:$I$389,9,0)</f>
        <v>23832382</v>
      </c>
      <c r="AG10">
        <f t="shared" si="14"/>
        <v>16682667</v>
      </c>
      <c r="AH10">
        <f>IFERROR(VLOOKUP(B10,'Planilla Mes anterior'!$CX:$CY,2,0),0)</f>
        <v>18666001</v>
      </c>
      <c r="AJ10" s="95">
        <v>0</v>
      </c>
    </row>
    <row r="11" spans="1:37" x14ac:dyDescent="0.3">
      <c r="A11" s="81">
        <v>20049357</v>
      </c>
      <c r="B11" s="5">
        <v>424785</v>
      </c>
      <c r="C11" s="36" t="s">
        <v>816</v>
      </c>
      <c r="D11" s="36" t="s">
        <v>3344</v>
      </c>
      <c r="E11" s="39">
        <v>31</v>
      </c>
      <c r="F11" s="37">
        <v>0</v>
      </c>
      <c r="G11" s="37">
        <v>0</v>
      </c>
      <c r="H11" s="38">
        <v>27738862</v>
      </c>
      <c r="I11" s="39">
        <v>19417203</v>
      </c>
      <c r="J11" s="38">
        <v>894500</v>
      </c>
      <c r="K11" s="39">
        <v>28633362</v>
      </c>
      <c r="L11" s="39">
        <v>11453345</v>
      </c>
      <c r="M11" s="39"/>
      <c r="N11" s="39"/>
      <c r="O11" s="39"/>
      <c r="P11" s="38">
        <v>17675220</v>
      </c>
      <c r="Q11" s="39">
        <v>0</v>
      </c>
      <c r="R11" s="39">
        <v>0</v>
      </c>
      <c r="S11" s="40"/>
      <c r="T11" s="38"/>
      <c r="U11" s="40"/>
      <c r="V11" s="40">
        <v>776688</v>
      </c>
      <c r="W11" s="42"/>
      <c r="X11" s="40"/>
      <c r="Y11" s="40">
        <v>776688</v>
      </c>
      <c r="Z11" s="42"/>
      <c r="AA11" s="40"/>
      <c r="AB11" s="40"/>
      <c r="AC11" s="40">
        <v>194200</v>
      </c>
      <c r="AD11" s="42"/>
      <c r="AF11">
        <f>VLOOKUP(A11,Devengos!$A$4:$I$389,9,0)</f>
        <v>22761765.833299998</v>
      </c>
      <c r="AG11">
        <f t="shared" si="14"/>
        <v>15933236</v>
      </c>
      <c r="AH11">
        <f>IFERROR(VLOOKUP(B11,'Planilla Mes anterior'!$CX:$CY,2,0),0)</f>
        <v>17675220</v>
      </c>
      <c r="AJ11" s="95">
        <v>0</v>
      </c>
    </row>
    <row r="12" spans="1:37" x14ac:dyDescent="0.3">
      <c r="A12" s="81">
        <v>20059280</v>
      </c>
      <c r="B12" s="5">
        <v>71269226</v>
      </c>
      <c r="C12" s="36" t="s">
        <v>826</v>
      </c>
      <c r="D12" s="36" t="s">
        <v>3344</v>
      </c>
      <c r="E12" s="39">
        <v>30</v>
      </c>
      <c r="F12" s="37">
        <v>1</v>
      </c>
      <c r="G12" s="37">
        <v>0</v>
      </c>
      <c r="H12" s="38">
        <v>24203344</v>
      </c>
      <c r="I12" s="39">
        <v>16942341</v>
      </c>
      <c r="J12" s="38">
        <v>875300</v>
      </c>
      <c r="K12" s="39">
        <v>25078644</v>
      </c>
      <c r="L12" s="39">
        <v>10031458</v>
      </c>
      <c r="M12" s="39"/>
      <c r="N12" s="39"/>
      <c r="O12" s="39"/>
      <c r="P12" s="38">
        <v>15933236</v>
      </c>
      <c r="Q12" s="39">
        <v>531108</v>
      </c>
      <c r="R12" s="39">
        <v>0</v>
      </c>
      <c r="S12" s="40"/>
      <c r="T12" s="38"/>
      <c r="U12" s="40"/>
      <c r="V12" s="40">
        <v>698938</v>
      </c>
      <c r="W12" s="42"/>
      <c r="X12" s="40"/>
      <c r="Y12" s="40">
        <v>698938</v>
      </c>
      <c r="Z12" s="42"/>
      <c r="AA12" s="40"/>
      <c r="AB12" s="40"/>
      <c r="AC12" s="40">
        <v>175000</v>
      </c>
      <c r="AD12" s="42"/>
      <c r="AF12">
        <f>VLOOKUP(A12,Devengos!$A$4:$I$389,9,0)</f>
        <v>25037942</v>
      </c>
      <c r="AG12">
        <f t="shared" si="14"/>
        <v>17526559</v>
      </c>
      <c r="AH12">
        <f>IFERROR(VLOOKUP(B12,'Planilla Mes anterior'!$CX:$CY,2,0),0)</f>
        <v>15933236</v>
      </c>
      <c r="AJ12" s="95">
        <v>0</v>
      </c>
    </row>
    <row r="13" spans="1:37" x14ac:dyDescent="0.3">
      <c r="A13" s="81">
        <v>20060771</v>
      </c>
      <c r="B13" s="5">
        <v>1018406527.0000001</v>
      </c>
      <c r="C13" s="36" t="s">
        <v>835</v>
      </c>
      <c r="D13" s="36" t="s">
        <v>3456</v>
      </c>
      <c r="E13" s="39">
        <v>30</v>
      </c>
      <c r="F13" s="37">
        <v>2</v>
      </c>
      <c r="G13" s="37">
        <v>0</v>
      </c>
      <c r="H13" s="38">
        <v>13952910</v>
      </c>
      <c r="I13" s="39">
        <v>13952910</v>
      </c>
      <c r="J13" s="38">
        <v>869100</v>
      </c>
      <c r="K13" s="39">
        <v>14822010</v>
      </c>
      <c r="L13" s="39">
        <v>5928804</v>
      </c>
      <c r="M13" s="39"/>
      <c r="N13" s="39"/>
      <c r="O13" s="39"/>
      <c r="P13" s="38">
        <v>43772625</v>
      </c>
      <c r="Q13" s="39">
        <v>2918175</v>
      </c>
      <c r="R13" s="39">
        <v>0</v>
      </c>
      <c r="S13" s="40"/>
      <c r="T13" s="38">
        <v>0</v>
      </c>
      <c r="U13" s="40"/>
      <c r="V13" s="40">
        <v>674843</v>
      </c>
      <c r="W13" s="42"/>
      <c r="X13" s="40"/>
      <c r="Y13" s="40">
        <v>674843</v>
      </c>
      <c r="Z13" s="42"/>
      <c r="AA13" s="40"/>
      <c r="AB13" s="40"/>
      <c r="AC13" s="40">
        <v>168800</v>
      </c>
      <c r="AD13" s="42"/>
      <c r="AF13">
        <f>VLOOKUP(A13,Devengos!$A$4:$I$389,9,0)</f>
        <v>14949546</v>
      </c>
      <c r="AG13">
        <f t="shared" si="14"/>
        <v>14949546</v>
      </c>
      <c r="AH13">
        <f>IFERROR(VLOOKUP(B13,'Planilla Mes anterior'!$CX:$CY,2,0),0)</f>
        <v>43772625</v>
      </c>
      <c r="AJ13" s="95">
        <v>0</v>
      </c>
    </row>
    <row r="14" spans="1:37" x14ac:dyDescent="0.3">
      <c r="A14" s="81">
        <v>20060845</v>
      </c>
      <c r="B14" s="5">
        <v>1018406436</v>
      </c>
      <c r="C14" s="36" t="s">
        <v>840</v>
      </c>
      <c r="D14" s="36" t="s">
        <v>3344</v>
      </c>
      <c r="E14" s="39">
        <v>30</v>
      </c>
      <c r="F14" s="37">
        <v>0</v>
      </c>
      <c r="G14" s="37">
        <v>0</v>
      </c>
      <c r="H14" s="38">
        <v>22761765</v>
      </c>
      <c r="I14" s="39">
        <v>15933235</v>
      </c>
      <c r="J14" s="38">
        <v>859700</v>
      </c>
      <c r="K14" s="39">
        <v>23621465</v>
      </c>
      <c r="L14" s="39">
        <v>9448586</v>
      </c>
      <c r="M14" s="39"/>
      <c r="N14" s="39"/>
      <c r="O14" s="39"/>
      <c r="P14" s="38">
        <v>15955734</v>
      </c>
      <c r="Q14" s="39">
        <v>0</v>
      </c>
      <c r="R14" s="39">
        <v>0</v>
      </c>
      <c r="S14" s="40"/>
      <c r="T14" s="38"/>
      <c r="U14" s="40"/>
      <c r="V14" s="40">
        <v>637329</v>
      </c>
      <c r="W14" s="42"/>
      <c r="X14" s="40"/>
      <c r="Y14" s="40">
        <v>637329</v>
      </c>
      <c r="Z14" s="42"/>
      <c r="AA14" s="40"/>
      <c r="AB14" s="40"/>
      <c r="AC14" s="40">
        <v>159400</v>
      </c>
      <c r="AD14" s="42"/>
      <c r="AF14">
        <f>VLOOKUP(A14,Devengos!$A$4:$I$389,9,0)</f>
        <v>22761765</v>
      </c>
      <c r="AG14">
        <f t="shared" si="14"/>
        <v>15933236</v>
      </c>
      <c r="AH14">
        <f>IFERROR(VLOOKUP(B14,'Planilla Mes anterior'!$CX:$CY,2,0),0)</f>
        <v>15955734</v>
      </c>
      <c r="AJ14" s="95">
        <v>0</v>
      </c>
    </row>
    <row r="15" spans="1:37" x14ac:dyDescent="0.3">
      <c r="A15" s="81">
        <v>20065526</v>
      </c>
      <c r="B15" s="5">
        <v>52530451</v>
      </c>
      <c r="C15" s="36" t="s">
        <v>845</v>
      </c>
      <c r="D15" s="36" t="s">
        <v>3456</v>
      </c>
      <c r="E15" s="39">
        <v>30</v>
      </c>
      <c r="F15" s="37">
        <v>0</v>
      </c>
      <c r="G15" s="37">
        <v>0</v>
      </c>
      <c r="H15" s="38">
        <v>9525854</v>
      </c>
      <c r="I15" s="39">
        <v>9525854</v>
      </c>
      <c r="J15" s="38">
        <v>795700</v>
      </c>
      <c r="K15" s="39">
        <v>10321554</v>
      </c>
      <c r="L15" s="39">
        <v>4128622</v>
      </c>
      <c r="M15" s="39"/>
      <c r="N15" s="39"/>
      <c r="O15" s="39"/>
      <c r="P15" s="38">
        <v>9525854</v>
      </c>
      <c r="Q15" s="39">
        <v>0</v>
      </c>
      <c r="R15" s="39">
        <v>0</v>
      </c>
      <c r="S15" s="40"/>
      <c r="T15" s="38">
        <v>0</v>
      </c>
      <c r="U15" s="40"/>
      <c r="V15" s="40">
        <v>381034</v>
      </c>
      <c r="W15" s="42"/>
      <c r="X15" s="40"/>
      <c r="Y15" s="40">
        <v>381034</v>
      </c>
      <c r="Z15" s="42"/>
      <c r="AA15" s="40"/>
      <c r="AB15" s="40"/>
      <c r="AC15" s="40">
        <v>95400</v>
      </c>
      <c r="AD15" s="42"/>
      <c r="AF15">
        <f>VLOOKUP(A15,Devengos!$A$4:$I$389,9,0)</f>
        <v>9525854</v>
      </c>
      <c r="AG15">
        <f t="shared" si="14"/>
        <v>9525854</v>
      </c>
      <c r="AH15">
        <f>IFERROR(VLOOKUP(B15,'Planilla Mes anterior'!$CX:$CY,2,0),0)</f>
        <v>9525854</v>
      </c>
      <c r="AJ15" s="95">
        <v>0</v>
      </c>
    </row>
    <row r="16" spans="1:37" x14ac:dyDescent="0.3">
      <c r="A16" s="81">
        <v>20066234</v>
      </c>
      <c r="B16" s="5">
        <v>502210</v>
      </c>
      <c r="C16" s="36" t="s">
        <v>851</v>
      </c>
      <c r="D16" s="36" t="s">
        <v>3344</v>
      </c>
      <c r="E16" s="39">
        <v>30</v>
      </c>
      <c r="F16" s="37">
        <v>0</v>
      </c>
      <c r="G16" s="37">
        <v>0</v>
      </c>
      <c r="H16" s="38">
        <v>28483101</v>
      </c>
      <c r="I16" s="39">
        <v>19938171</v>
      </c>
      <c r="J16" s="38">
        <v>899700</v>
      </c>
      <c r="K16" s="39">
        <v>29382801</v>
      </c>
      <c r="L16" s="39">
        <v>11753120</v>
      </c>
      <c r="M16" s="39"/>
      <c r="N16" s="39"/>
      <c r="O16" s="39"/>
      <c r="P16" s="38">
        <v>19938171</v>
      </c>
      <c r="Q16" s="39">
        <v>0</v>
      </c>
      <c r="R16" s="39">
        <v>0</v>
      </c>
      <c r="S16" s="40"/>
      <c r="T16" s="38"/>
      <c r="U16" s="40"/>
      <c r="V16" s="40">
        <v>797527</v>
      </c>
      <c r="W16" s="42"/>
      <c r="X16" s="40"/>
      <c r="Y16" s="40">
        <v>797527</v>
      </c>
      <c r="Z16" s="42"/>
      <c r="AA16" s="40"/>
      <c r="AB16" s="40"/>
      <c r="AC16" s="40">
        <v>199400</v>
      </c>
      <c r="AD16" s="42"/>
      <c r="AF16">
        <f>VLOOKUP(A16,Devengos!$A$4:$I$389,9,0)</f>
        <v>28483101</v>
      </c>
      <c r="AG16">
        <f t="shared" si="14"/>
        <v>19938171</v>
      </c>
      <c r="AH16">
        <f>IFERROR(VLOOKUP(B16,'Planilla Mes anterior'!$CX:$CY,2,0),0)</f>
        <v>19938171</v>
      </c>
      <c r="AJ16" s="95">
        <v>0</v>
      </c>
    </row>
    <row r="17" spans="1:37" x14ac:dyDescent="0.3">
      <c r="A17" s="81">
        <v>20066799</v>
      </c>
      <c r="B17" s="5">
        <v>1020796094</v>
      </c>
      <c r="C17" s="36" t="s">
        <v>858</v>
      </c>
      <c r="D17" s="36" t="s">
        <v>3456</v>
      </c>
      <c r="E17" s="39">
        <v>31</v>
      </c>
      <c r="F17" s="37">
        <v>0</v>
      </c>
      <c r="G17" s="37">
        <v>0</v>
      </c>
      <c r="H17" s="38">
        <v>12834012</v>
      </c>
      <c r="I17" s="39">
        <v>12834012</v>
      </c>
      <c r="J17" s="38">
        <v>2525372</v>
      </c>
      <c r="K17" s="39">
        <v>15359384</v>
      </c>
      <c r="L17" s="39">
        <v>6143754</v>
      </c>
      <c r="M17" s="39"/>
      <c r="N17" s="39"/>
      <c r="O17" s="39"/>
      <c r="P17" s="38">
        <v>13976000</v>
      </c>
      <c r="Q17" s="39">
        <v>0</v>
      </c>
      <c r="R17" s="39">
        <v>0</v>
      </c>
      <c r="S17" s="40"/>
      <c r="T17" s="38">
        <v>0</v>
      </c>
      <c r="U17" s="40"/>
      <c r="V17" s="40">
        <v>513360</v>
      </c>
      <c r="W17" s="42"/>
      <c r="X17" s="40"/>
      <c r="Y17" s="40">
        <v>513360</v>
      </c>
      <c r="Z17" s="42"/>
      <c r="AA17" s="40"/>
      <c r="AB17" s="40"/>
      <c r="AC17" s="40">
        <v>128400</v>
      </c>
      <c r="AD17" s="42"/>
      <c r="AF17">
        <f>VLOOKUP(A17,Devengos!$A$4:$I$389,9,0)</f>
        <v>12525864.4208</v>
      </c>
      <c r="AG17">
        <f t="shared" si="14"/>
        <v>12525864.4208</v>
      </c>
      <c r="AH17">
        <f>IFERROR(VLOOKUP(B17,'Planilla Mes anterior'!$CX:$CY,2,0),0)</f>
        <v>13976000</v>
      </c>
      <c r="AJ17" s="95">
        <v>0</v>
      </c>
    </row>
    <row r="18" spans="1:37" x14ac:dyDescent="0.3">
      <c r="A18" s="81">
        <v>20066836</v>
      </c>
      <c r="B18" s="5">
        <v>72266298</v>
      </c>
      <c r="C18" s="36" t="s">
        <v>864</v>
      </c>
      <c r="D18" s="36" t="s">
        <v>3456</v>
      </c>
      <c r="E18" s="39">
        <v>31</v>
      </c>
      <c r="F18" s="37">
        <v>1</v>
      </c>
      <c r="G18" s="37">
        <v>0</v>
      </c>
      <c r="H18" s="38">
        <v>27218173</v>
      </c>
      <c r="I18" s="39">
        <v>27218173</v>
      </c>
      <c r="J18" s="38">
        <v>1243949</v>
      </c>
      <c r="K18" s="39">
        <v>28462122</v>
      </c>
      <c r="L18" s="39">
        <v>11384849</v>
      </c>
      <c r="M18" s="39"/>
      <c r="N18" s="39"/>
      <c r="O18" s="39"/>
      <c r="P18" s="38">
        <v>24946729</v>
      </c>
      <c r="Q18" s="39">
        <v>831558</v>
      </c>
      <c r="R18" s="39">
        <v>0</v>
      </c>
      <c r="S18" s="40"/>
      <c r="T18" s="38">
        <v>0</v>
      </c>
      <c r="U18" s="40"/>
      <c r="V18" s="40">
        <v>1121989</v>
      </c>
      <c r="W18" s="42"/>
      <c r="X18" s="40"/>
      <c r="Y18" s="40">
        <v>1121989</v>
      </c>
      <c r="Z18" s="42"/>
      <c r="AA18" s="40"/>
      <c r="AB18" s="40"/>
      <c r="AC18" s="40">
        <v>336800</v>
      </c>
      <c r="AD18" s="42"/>
      <c r="AF18">
        <f>VLOOKUP(A18,Devengos!$A$4:$I$389,9,0)</f>
        <v>22761765</v>
      </c>
      <c r="AG18">
        <f t="shared" si="14"/>
        <v>22761765</v>
      </c>
      <c r="AH18">
        <f>IFERROR(VLOOKUP(B18,'Planilla Mes anterior'!$CX:$CY,2,0),0)</f>
        <v>24946729</v>
      </c>
      <c r="AJ18" s="95">
        <v>0</v>
      </c>
    </row>
    <row r="19" spans="1:37" x14ac:dyDescent="0.3">
      <c r="A19" s="81">
        <v>20068049</v>
      </c>
      <c r="B19" s="5">
        <v>1014191248</v>
      </c>
      <c r="C19" s="36" t="s">
        <v>869</v>
      </c>
      <c r="D19" s="36" t="s">
        <v>3456</v>
      </c>
      <c r="E19" s="39">
        <v>30</v>
      </c>
      <c r="F19" s="37">
        <v>0</v>
      </c>
      <c r="G19" s="37">
        <v>0</v>
      </c>
      <c r="H19" s="38">
        <v>8956566</v>
      </c>
      <c r="I19" s="39">
        <v>8956566</v>
      </c>
      <c r="J19" s="38">
        <v>789900</v>
      </c>
      <c r="K19" s="39">
        <v>9746466</v>
      </c>
      <c r="L19" s="39">
        <v>3898586</v>
      </c>
      <c r="M19" s="39"/>
      <c r="N19" s="39"/>
      <c r="O19" s="39"/>
      <c r="P19" s="38">
        <v>8956566</v>
      </c>
      <c r="Q19" s="39">
        <v>0</v>
      </c>
      <c r="R19" s="39">
        <v>0</v>
      </c>
      <c r="S19" s="40"/>
      <c r="T19" s="38">
        <v>0</v>
      </c>
      <c r="U19" s="40"/>
      <c r="V19" s="40">
        <v>358263</v>
      </c>
      <c r="W19" s="42"/>
      <c r="X19" s="40"/>
      <c r="Y19" s="40">
        <v>358263</v>
      </c>
      <c r="Z19" s="42"/>
      <c r="AA19" s="40"/>
      <c r="AB19" s="40"/>
      <c r="AC19" s="40">
        <v>89600</v>
      </c>
      <c r="AD19" s="42"/>
      <c r="AF19">
        <f>VLOOKUP(A19,Devengos!$A$4:$I$389,9,0)</f>
        <v>8956566</v>
      </c>
      <c r="AG19">
        <f t="shared" si="14"/>
        <v>8956566</v>
      </c>
      <c r="AH19">
        <f>IFERROR(VLOOKUP(B19,'Planilla Mes anterior'!$CX:$CY,2,0),0)</f>
        <v>8956566</v>
      </c>
      <c r="AJ19" s="95">
        <v>0</v>
      </c>
    </row>
    <row r="20" spans="1:37" x14ac:dyDescent="0.3">
      <c r="A20" s="81">
        <v>20068059</v>
      </c>
      <c r="B20" s="5">
        <v>79521449</v>
      </c>
      <c r="C20" s="36" t="s">
        <v>875</v>
      </c>
      <c r="D20" s="36" t="s">
        <v>3456</v>
      </c>
      <c r="E20" s="39">
        <v>30</v>
      </c>
      <c r="F20" s="37">
        <v>0</v>
      </c>
      <c r="G20" s="37">
        <v>0</v>
      </c>
      <c r="H20" s="38">
        <v>13325016</v>
      </c>
      <c r="I20" s="39">
        <v>13325016</v>
      </c>
      <c r="J20" s="38">
        <v>1637817</v>
      </c>
      <c r="K20" s="39">
        <v>14962833</v>
      </c>
      <c r="L20" s="39">
        <v>5985133</v>
      </c>
      <c r="M20" s="39"/>
      <c r="N20" s="39"/>
      <c r="O20" s="39"/>
      <c r="P20" s="38">
        <v>14162837</v>
      </c>
      <c r="Q20" s="39">
        <v>0</v>
      </c>
      <c r="R20" s="39">
        <v>0</v>
      </c>
      <c r="S20" s="40"/>
      <c r="T20" s="38">
        <v>0</v>
      </c>
      <c r="U20" s="40"/>
      <c r="V20" s="40">
        <v>533001</v>
      </c>
      <c r="W20" s="42"/>
      <c r="X20" s="40"/>
      <c r="Y20" s="40">
        <v>533001</v>
      </c>
      <c r="Z20" s="42"/>
      <c r="AA20" s="40"/>
      <c r="AB20" s="40"/>
      <c r="AC20" s="40">
        <v>133400</v>
      </c>
      <c r="AD20" s="42"/>
      <c r="AF20">
        <f>VLOOKUP(A20,Devengos!$A$4:$I$389,9,0)</f>
        <v>13325016</v>
      </c>
      <c r="AG20">
        <f t="shared" si="14"/>
        <v>13325016</v>
      </c>
      <c r="AH20">
        <f>IFERROR(VLOOKUP(B20,'Planilla Mes anterior'!$CX:$CY,2,0),0)</f>
        <v>14162837</v>
      </c>
      <c r="AJ20" s="95">
        <v>0</v>
      </c>
    </row>
    <row r="21" spans="1:37" x14ac:dyDescent="0.3">
      <c r="A21" s="81">
        <v>20069425</v>
      </c>
      <c r="B21" s="5">
        <v>88233100</v>
      </c>
      <c r="C21" s="36" t="s">
        <v>881</v>
      </c>
      <c r="D21" s="36" t="s">
        <v>3344</v>
      </c>
      <c r="E21" s="39">
        <v>30</v>
      </c>
      <c r="F21" s="37">
        <v>0</v>
      </c>
      <c r="G21" s="37">
        <v>0</v>
      </c>
      <c r="H21" s="38">
        <v>22761765</v>
      </c>
      <c r="I21" s="39">
        <v>15933235</v>
      </c>
      <c r="J21" s="38">
        <v>859700</v>
      </c>
      <c r="K21" s="39">
        <v>23621465</v>
      </c>
      <c r="L21" s="39">
        <v>9448586</v>
      </c>
      <c r="M21" s="39"/>
      <c r="N21" s="39"/>
      <c r="O21" s="39"/>
      <c r="P21" s="38">
        <v>15933236</v>
      </c>
      <c r="Q21" s="39">
        <v>0</v>
      </c>
      <c r="R21" s="39">
        <v>0</v>
      </c>
      <c r="S21" s="40"/>
      <c r="T21" s="38"/>
      <c r="U21" s="40"/>
      <c r="V21" s="40">
        <v>637329</v>
      </c>
      <c r="W21" s="42"/>
      <c r="X21" s="40"/>
      <c r="Y21" s="40">
        <v>637329</v>
      </c>
      <c r="Z21" s="42"/>
      <c r="AA21" s="40"/>
      <c r="AB21" s="40"/>
      <c r="AC21" s="40">
        <v>159400</v>
      </c>
      <c r="AD21" s="42"/>
      <c r="AF21">
        <f>VLOOKUP(A21,Devengos!$A$4:$I$389,9,0)</f>
        <v>22761765</v>
      </c>
      <c r="AG21">
        <f t="shared" si="14"/>
        <v>15933236</v>
      </c>
      <c r="AH21">
        <f>IFERROR(VLOOKUP(B21,'Planilla Mes anterior'!$CX:$CY,2,0),0)</f>
        <v>15933236</v>
      </c>
      <c r="AJ21" s="95">
        <v>0</v>
      </c>
    </row>
    <row r="22" spans="1:37" x14ac:dyDescent="0.3">
      <c r="A22" s="81">
        <v>20073842</v>
      </c>
      <c r="B22" s="5">
        <v>16928777</v>
      </c>
      <c r="C22" s="36" t="s">
        <v>887</v>
      </c>
      <c r="D22" s="36" t="s">
        <v>3344</v>
      </c>
      <c r="E22" s="39">
        <v>30</v>
      </c>
      <c r="F22" s="37">
        <v>0</v>
      </c>
      <c r="G22" s="37">
        <v>0</v>
      </c>
      <c r="H22" s="38">
        <v>27360609</v>
      </c>
      <c r="I22" s="39">
        <v>19152426</v>
      </c>
      <c r="J22" s="38">
        <v>891900</v>
      </c>
      <c r="K22" s="39">
        <v>28252509</v>
      </c>
      <c r="L22" s="39">
        <v>11301004</v>
      </c>
      <c r="M22" s="39"/>
      <c r="N22" s="39"/>
      <c r="O22" s="39"/>
      <c r="P22" s="38">
        <v>19152427</v>
      </c>
      <c r="Q22" s="39">
        <v>0</v>
      </c>
      <c r="R22" s="39">
        <v>0</v>
      </c>
      <c r="S22" s="40"/>
      <c r="T22" s="38"/>
      <c r="U22" s="40"/>
      <c r="V22" s="40">
        <v>766097</v>
      </c>
      <c r="W22" s="42"/>
      <c r="X22" s="40"/>
      <c r="Y22" s="40">
        <v>766097</v>
      </c>
      <c r="Z22" s="42"/>
      <c r="AA22" s="40"/>
      <c r="AB22" s="40"/>
      <c r="AC22" s="40">
        <v>191600</v>
      </c>
      <c r="AD22" s="42"/>
      <c r="AF22">
        <f>VLOOKUP(A22,Devengos!$A$4:$I$389,9,0)</f>
        <v>27360609</v>
      </c>
      <c r="AG22">
        <f t="shared" si="14"/>
        <v>19152426</v>
      </c>
      <c r="AH22">
        <f>IFERROR(VLOOKUP(B22,'Planilla Mes anterior'!$CX:$CY,2,0),0)</f>
        <v>19152427</v>
      </c>
      <c r="AJ22" s="95">
        <v>0</v>
      </c>
    </row>
    <row r="23" spans="1:37" x14ac:dyDescent="0.3">
      <c r="A23" s="81">
        <v>20075245</v>
      </c>
      <c r="B23" s="5">
        <v>1144151741</v>
      </c>
      <c r="C23" s="36" t="s">
        <v>894</v>
      </c>
      <c r="D23" s="36" t="s">
        <v>3456</v>
      </c>
      <c r="E23" s="39">
        <v>30</v>
      </c>
      <c r="F23" s="37">
        <v>0</v>
      </c>
      <c r="G23" s="37">
        <v>0</v>
      </c>
      <c r="H23" s="38">
        <v>7411661</v>
      </c>
      <c r="I23" s="39">
        <v>7411661</v>
      </c>
      <c r="J23" s="38">
        <v>975529</v>
      </c>
      <c r="K23" s="39">
        <v>8387190</v>
      </c>
      <c r="L23" s="39">
        <v>3354876</v>
      </c>
      <c r="M23" s="39"/>
      <c r="N23" s="39"/>
      <c r="O23" s="39"/>
      <c r="P23" s="38">
        <v>7411661</v>
      </c>
      <c r="Q23" s="39">
        <v>0</v>
      </c>
      <c r="R23" s="39">
        <v>0</v>
      </c>
      <c r="S23" s="40"/>
      <c r="T23" s="38">
        <v>0</v>
      </c>
      <c r="U23" s="40"/>
      <c r="V23" s="40">
        <v>296466</v>
      </c>
      <c r="W23" s="42"/>
      <c r="X23" s="40"/>
      <c r="Y23" s="40">
        <v>296466</v>
      </c>
      <c r="Z23" s="42"/>
      <c r="AA23" s="40"/>
      <c r="AB23" s="40"/>
      <c r="AC23" s="40">
        <v>74200</v>
      </c>
      <c r="AD23" s="42"/>
      <c r="AF23">
        <f>VLOOKUP(A23,Devengos!$A$4:$I$389,9,0)</f>
        <v>7411661</v>
      </c>
      <c r="AG23">
        <f t="shared" si="14"/>
        <v>7411661</v>
      </c>
      <c r="AH23">
        <f>IFERROR(VLOOKUP(B23,'Planilla Mes anterior'!$CX:$CY,2,0),0)</f>
        <v>7411661</v>
      </c>
      <c r="AJ23" s="95">
        <v>0</v>
      </c>
    </row>
    <row r="24" spans="1:37" x14ac:dyDescent="0.3">
      <c r="A24" s="81">
        <v>20075298</v>
      </c>
      <c r="B24" s="5">
        <v>1032380630</v>
      </c>
      <c r="C24" s="36" t="s">
        <v>902</v>
      </c>
      <c r="D24" s="36" t="s">
        <v>3456</v>
      </c>
      <c r="E24" s="39">
        <v>30</v>
      </c>
      <c r="F24" s="37">
        <v>10</v>
      </c>
      <c r="G24" s="37">
        <v>0</v>
      </c>
      <c r="H24" s="38">
        <v>8311974</v>
      </c>
      <c r="I24" s="39">
        <v>8311974</v>
      </c>
      <c r="J24" s="38">
        <v>825100</v>
      </c>
      <c r="K24" s="39">
        <v>9137074</v>
      </c>
      <c r="L24" s="39">
        <v>3654830</v>
      </c>
      <c r="M24" s="39"/>
      <c r="N24" s="39"/>
      <c r="O24" s="39"/>
      <c r="P24" s="38">
        <v>12467961</v>
      </c>
      <c r="Q24" s="39">
        <v>4155987</v>
      </c>
      <c r="R24" s="39">
        <v>0</v>
      </c>
      <c r="S24" s="40"/>
      <c r="T24" s="38">
        <v>0</v>
      </c>
      <c r="U24" s="40"/>
      <c r="V24" s="40">
        <v>498719</v>
      </c>
      <c r="W24" s="42"/>
      <c r="X24" s="40"/>
      <c r="Y24" s="40">
        <v>498719</v>
      </c>
      <c r="Z24" s="42"/>
      <c r="AA24" s="40"/>
      <c r="AB24" s="40"/>
      <c r="AC24" s="40">
        <v>124800</v>
      </c>
      <c r="AD24" s="42"/>
      <c r="AF24">
        <f>VLOOKUP(A24,Devengos!$A$4:$I$389,9,0)</f>
        <v>12467961</v>
      </c>
      <c r="AG24">
        <f t="shared" si="14"/>
        <v>12467961</v>
      </c>
      <c r="AH24">
        <f>IFERROR(VLOOKUP(B24,'Planilla Mes anterior'!$CX:$CY,2,0),0)</f>
        <v>12467961</v>
      </c>
      <c r="AJ24" s="95">
        <v>0</v>
      </c>
    </row>
    <row r="25" spans="1:37" x14ac:dyDescent="0.3">
      <c r="A25" s="81">
        <v>20075317</v>
      </c>
      <c r="B25" s="5">
        <v>94552091</v>
      </c>
      <c r="C25" s="36" t="s">
        <v>910</v>
      </c>
      <c r="D25" s="36" t="s">
        <v>3456</v>
      </c>
      <c r="E25" s="39">
        <v>30</v>
      </c>
      <c r="F25" s="37">
        <v>0</v>
      </c>
      <c r="G25" s="37">
        <v>0</v>
      </c>
      <c r="H25" s="38">
        <v>8920122</v>
      </c>
      <c r="I25" s="39">
        <v>8920122</v>
      </c>
      <c r="J25" s="38">
        <v>789700</v>
      </c>
      <c r="K25" s="39">
        <v>9709822</v>
      </c>
      <c r="L25" s="39">
        <v>3883929</v>
      </c>
      <c r="M25" s="39"/>
      <c r="N25" s="39"/>
      <c r="O25" s="39"/>
      <c r="P25" s="38">
        <v>9411060</v>
      </c>
      <c r="Q25" s="39">
        <v>0</v>
      </c>
      <c r="R25" s="39">
        <v>0</v>
      </c>
      <c r="S25" s="40"/>
      <c r="T25" s="38">
        <v>0</v>
      </c>
      <c r="U25" s="40"/>
      <c r="V25" s="40">
        <v>356805</v>
      </c>
      <c r="W25" s="42"/>
      <c r="X25" s="40"/>
      <c r="Y25" s="40">
        <v>356805</v>
      </c>
      <c r="Z25" s="42"/>
      <c r="AA25" s="40"/>
      <c r="AB25" s="40"/>
      <c r="AC25" s="40">
        <v>89400</v>
      </c>
      <c r="AD25" s="42"/>
      <c r="AF25">
        <f>VLOOKUP(A25,Devengos!$A$4:$I$389,9,0)</f>
        <v>8324189</v>
      </c>
      <c r="AG25">
        <f t="shared" si="14"/>
        <v>8324189</v>
      </c>
      <c r="AH25">
        <f>IFERROR(VLOOKUP(B25,'Planilla Mes anterior'!$CX:$CY,2,0),0)</f>
        <v>9411060</v>
      </c>
      <c r="AJ25" s="95">
        <v>0</v>
      </c>
    </row>
    <row r="26" spans="1:37" x14ac:dyDescent="0.3">
      <c r="A26" s="81">
        <v>20077129</v>
      </c>
      <c r="B26" s="5">
        <v>38565334</v>
      </c>
      <c r="C26" s="36" t="s">
        <v>914</v>
      </c>
      <c r="D26" s="36" t="s">
        <v>3344</v>
      </c>
      <c r="E26" s="39">
        <v>31</v>
      </c>
      <c r="F26" s="37">
        <v>0</v>
      </c>
      <c r="G26" s="37">
        <v>0</v>
      </c>
      <c r="H26" s="38">
        <v>29343117</v>
      </c>
      <c r="I26" s="39">
        <v>20540182</v>
      </c>
      <c r="J26" s="38">
        <v>905900</v>
      </c>
      <c r="K26" s="39">
        <v>30249017</v>
      </c>
      <c r="L26" s="39">
        <v>12099607</v>
      </c>
      <c r="M26" s="39"/>
      <c r="N26" s="39"/>
      <c r="O26" s="39"/>
      <c r="P26" s="38">
        <v>15933237</v>
      </c>
      <c r="Q26" s="39">
        <v>0</v>
      </c>
      <c r="R26" s="39">
        <v>0</v>
      </c>
      <c r="S26" s="40"/>
      <c r="T26" s="38"/>
      <c r="U26" s="40"/>
      <c r="V26" s="40">
        <v>821607</v>
      </c>
      <c r="W26" s="42"/>
      <c r="X26" s="40"/>
      <c r="Y26" s="40">
        <v>821607</v>
      </c>
      <c r="Z26" s="42"/>
      <c r="AA26" s="40"/>
      <c r="AB26" s="40"/>
      <c r="AC26" s="40">
        <v>205600</v>
      </c>
      <c r="AD26" s="42"/>
      <c r="AF26">
        <f>VLOOKUP(A26,Devengos!$A$4:$I$389,9,0)</f>
        <v>22761765.833299998</v>
      </c>
      <c r="AG26">
        <f t="shared" si="14"/>
        <v>15933236</v>
      </c>
      <c r="AH26">
        <f>IFERROR(VLOOKUP(B26,'Planilla Mes anterior'!$CX:$CY,2,0),0)</f>
        <v>15933237</v>
      </c>
      <c r="AJ26" s="95">
        <v>0</v>
      </c>
    </row>
    <row r="27" spans="1:37" x14ac:dyDescent="0.3">
      <c r="A27" s="81">
        <v>20080480</v>
      </c>
      <c r="B27" s="5">
        <v>1020746128.9999999</v>
      </c>
      <c r="C27" s="36" t="s">
        <v>920</v>
      </c>
      <c r="D27" s="36" t="s">
        <v>3344</v>
      </c>
      <c r="E27" s="39">
        <v>31</v>
      </c>
      <c r="F27" s="37">
        <v>0</v>
      </c>
      <c r="G27" s="37">
        <v>0</v>
      </c>
      <c r="H27" s="38">
        <v>28470583</v>
      </c>
      <c r="I27" s="39">
        <v>19929408</v>
      </c>
      <c r="J27" s="38">
        <v>899700</v>
      </c>
      <c r="K27" s="39">
        <v>29370283</v>
      </c>
      <c r="L27" s="39">
        <v>11748113</v>
      </c>
      <c r="M27" s="39"/>
      <c r="N27" s="39"/>
      <c r="O27" s="39"/>
      <c r="P27" s="38">
        <v>20889137</v>
      </c>
      <c r="Q27" s="39">
        <v>0</v>
      </c>
      <c r="R27" s="39">
        <v>0</v>
      </c>
      <c r="S27" s="40"/>
      <c r="T27" s="38"/>
      <c r="U27" s="40"/>
      <c r="V27" s="40">
        <v>797176</v>
      </c>
      <c r="W27" s="42"/>
      <c r="X27" s="40"/>
      <c r="Y27" s="40">
        <v>797176</v>
      </c>
      <c r="Z27" s="42"/>
      <c r="AA27" s="40"/>
      <c r="AB27" s="40"/>
      <c r="AC27" s="40">
        <v>199400</v>
      </c>
      <c r="AD27" s="42"/>
      <c r="AF27">
        <f>VLOOKUP(A27,Devengos!$A$4:$I$389,9,0)</f>
        <v>22761765.833299998</v>
      </c>
      <c r="AG27">
        <f t="shared" si="14"/>
        <v>15933236</v>
      </c>
      <c r="AH27">
        <f>IFERROR(VLOOKUP(B27,'Planilla Mes anterior'!$CX:$CY,2,0),0)</f>
        <v>20889137</v>
      </c>
      <c r="AJ27" s="95">
        <v>0</v>
      </c>
    </row>
    <row r="28" spans="1:37" x14ac:dyDescent="0.3">
      <c r="A28" s="81">
        <v>20081518</v>
      </c>
      <c r="B28" s="5">
        <v>7183581</v>
      </c>
      <c r="C28" s="36" t="s">
        <v>927</v>
      </c>
      <c r="D28" s="36" t="s">
        <v>3344</v>
      </c>
      <c r="E28" s="39">
        <v>30</v>
      </c>
      <c r="F28" s="37">
        <v>0</v>
      </c>
      <c r="G28" s="37">
        <v>0</v>
      </c>
      <c r="H28" s="38">
        <v>22761766</v>
      </c>
      <c r="I28" s="39">
        <v>15933236</v>
      </c>
      <c r="J28" s="38">
        <v>1362295</v>
      </c>
      <c r="K28" s="39">
        <v>24124061</v>
      </c>
      <c r="L28" s="39">
        <v>9649624</v>
      </c>
      <c r="M28" s="39"/>
      <c r="N28" s="39"/>
      <c r="O28" s="39"/>
      <c r="P28" s="38">
        <v>27123777.143</v>
      </c>
      <c r="Q28" s="39">
        <v>0</v>
      </c>
      <c r="R28" s="39">
        <v>0</v>
      </c>
      <c r="S28" s="40"/>
      <c r="T28" s="38"/>
      <c r="U28" s="40"/>
      <c r="V28" s="40">
        <v>637329</v>
      </c>
      <c r="W28" s="236"/>
      <c r="X28" s="40"/>
      <c r="Y28" s="40">
        <v>637329</v>
      </c>
      <c r="Z28" s="42"/>
      <c r="AA28" s="40"/>
      <c r="AB28" s="40"/>
      <c r="AC28" s="40">
        <v>159400</v>
      </c>
      <c r="AD28" s="42"/>
      <c r="AF28">
        <f>VLOOKUP(A28,Devengos!$A$4:$I$389,9,0)</f>
        <v>22761765.833299998</v>
      </c>
      <c r="AG28">
        <f t="shared" si="14"/>
        <v>15933236</v>
      </c>
      <c r="AH28">
        <f>IFERROR(VLOOKUP(B28,'Planilla Mes anterior'!$CX:$CY,2,0),0)</f>
        <v>18986644</v>
      </c>
      <c r="AJ28" s="95">
        <v>0</v>
      </c>
      <c r="AK28" t="s">
        <v>4316</v>
      </c>
    </row>
    <row r="29" spans="1:37" x14ac:dyDescent="0.3">
      <c r="A29" s="81">
        <v>20087553</v>
      </c>
      <c r="B29" s="5">
        <v>11233975</v>
      </c>
      <c r="C29" s="36" t="s">
        <v>933</v>
      </c>
      <c r="D29" s="36" t="s">
        <v>3456</v>
      </c>
      <c r="E29" s="39">
        <v>30</v>
      </c>
      <c r="F29" s="37">
        <v>0</v>
      </c>
      <c r="G29" s="37">
        <v>0</v>
      </c>
      <c r="H29" s="38">
        <v>5628456</v>
      </c>
      <c r="I29" s="39">
        <v>5628456</v>
      </c>
      <c r="J29" s="38">
        <v>700300</v>
      </c>
      <c r="K29" s="39">
        <v>6328756</v>
      </c>
      <c r="L29" s="39">
        <v>2531502</v>
      </c>
      <c r="M29" s="39"/>
      <c r="N29" s="39"/>
      <c r="O29" s="39"/>
      <c r="P29" s="38">
        <v>5628456</v>
      </c>
      <c r="Q29" s="39">
        <v>0</v>
      </c>
      <c r="R29" s="39">
        <v>0</v>
      </c>
      <c r="S29" s="40"/>
      <c r="T29" s="38">
        <v>0</v>
      </c>
      <c r="U29" s="40"/>
      <c r="V29" s="40">
        <v>225138</v>
      </c>
      <c r="W29" s="42"/>
      <c r="X29" s="40"/>
      <c r="Y29" s="40">
        <v>225138</v>
      </c>
      <c r="Z29" s="42"/>
      <c r="AA29" s="40"/>
      <c r="AB29" s="40"/>
      <c r="AC29" s="40">
        <v>0</v>
      </c>
      <c r="AD29" s="42"/>
      <c r="AF29">
        <f>VLOOKUP(A29,Devengos!$A$4:$I$389,9,0)</f>
        <v>5628456</v>
      </c>
      <c r="AG29">
        <f t="shared" si="14"/>
        <v>5628456</v>
      </c>
      <c r="AH29">
        <f>IFERROR(VLOOKUP(B29,'Planilla Mes anterior'!$CX:$CY,2,0),0)</f>
        <v>5628456</v>
      </c>
      <c r="AJ29" s="95">
        <v>0</v>
      </c>
    </row>
    <row r="30" spans="1:37" x14ac:dyDescent="0.3">
      <c r="A30" s="81">
        <v>20087555</v>
      </c>
      <c r="B30" s="5">
        <v>13928419</v>
      </c>
      <c r="C30" s="36" t="s">
        <v>939</v>
      </c>
      <c r="D30" s="36" t="s">
        <v>3456</v>
      </c>
      <c r="E30" s="39">
        <v>30</v>
      </c>
      <c r="F30" s="37">
        <v>0</v>
      </c>
      <c r="G30" s="37">
        <v>2</v>
      </c>
      <c r="H30" s="38">
        <v>8818009</v>
      </c>
      <c r="I30" s="39">
        <v>8818009</v>
      </c>
      <c r="J30" s="38">
        <v>788500</v>
      </c>
      <c r="K30" s="39">
        <v>9606509</v>
      </c>
      <c r="L30" s="39">
        <v>3842604</v>
      </c>
      <c r="M30" s="39"/>
      <c r="N30" s="39"/>
      <c r="O30" s="39"/>
      <c r="P30" s="38">
        <v>8818010</v>
      </c>
      <c r="Q30" s="39">
        <v>0</v>
      </c>
      <c r="R30" s="39">
        <v>0</v>
      </c>
      <c r="S30" s="40"/>
      <c r="T30" s="38">
        <v>0</v>
      </c>
      <c r="U30" s="40"/>
      <c r="V30" s="40">
        <v>352720</v>
      </c>
      <c r="W30" s="42"/>
      <c r="X30" s="40"/>
      <c r="Y30" s="40">
        <v>352720</v>
      </c>
      <c r="Z30" s="42"/>
      <c r="AA30" s="40"/>
      <c r="AB30" s="40"/>
      <c r="AC30" s="40">
        <v>88200</v>
      </c>
      <c r="AD30" s="42"/>
      <c r="AF30">
        <f>VLOOKUP(A30,Devengos!$A$4:$I$389,9,0)</f>
        <v>8818010</v>
      </c>
      <c r="AG30">
        <f t="shared" si="14"/>
        <v>8818010</v>
      </c>
      <c r="AH30">
        <f>IFERROR(VLOOKUP(B30,'Planilla Mes anterior'!$CX:$CY,2,0),0)</f>
        <v>8818010</v>
      </c>
      <c r="AJ30" s="95">
        <v>0</v>
      </c>
    </row>
    <row r="31" spans="1:37" x14ac:dyDescent="0.3">
      <c r="A31" s="81">
        <v>20088951</v>
      </c>
      <c r="B31" s="5">
        <v>743339</v>
      </c>
      <c r="C31" s="36" t="s">
        <v>946</v>
      </c>
      <c r="D31" s="36" t="s">
        <v>3456</v>
      </c>
      <c r="E31" s="39">
        <v>30</v>
      </c>
      <c r="F31" s="37">
        <v>0</v>
      </c>
      <c r="G31" s="37">
        <v>0</v>
      </c>
      <c r="H31" s="38">
        <v>9703467</v>
      </c>
      <c r="I31" s="39">
        <v>9703467</v>
      </c>
      <c r="J31" s="38">
        <v>797500</v>
      </c>
      <c r="K31" s="39">
        <v>10500967</v>
      </c>
      <c r="L31" s="39">
        <v>4200387</v>
      </c>
      <c r="M31" s="39"/>
      <c r="N31" s="39"/>
      <c r="O31" s="39"/>
      <c r="P31" s="38">
        <v>9703467</v>
      </c>
      <c r="Q31" s="39">
        <v>0</v>
      </c>
      <c r="R31" s="39">
        <v>0</v>
      </c>
      <c r="S31" s="40"/>
      <c r="T31" s="38">
        <v>0</v>
      </c>
      <c r="U31" s="40"/>
      <c r="V31" s="40">
        <v>388139</v>
      </c>
      <c r="W31" s="42"/>
      <c r="X31" s="40"/>
      <c r="Y31" s="40">
        <v>388139</v>
      </c>
      <c r="Z31" s="42"/>
      <c r="AA31" s="40"/>
      <c r="AB31" s="40"/>
      <c r="AC31" s="40">
        <v>97200</v>
      </c>
      <c r="AD31" s="42"/>
      <c r="AF31">
        <f>VLOOKUP(A31,Devengos!$A$4:$I$389,9,0)</f>
        <v>9703467</v>
      </c>
      <c r="AG31">
        <f t="shared" si="14"/>
        <v>9703467</v>
      </c>
      <c r="AH31">
        <f>IFERROR(VLOOKUP(B31,'Planilla Mes anterior'!$CX:$CY,2,0),0)</f>
        <v>9703467</v>
      </c>
      <c r="AJ31" s="95">
        <v>0</v>
      </c>
    </row>
    <row r="32" spans="1:37" x14ac:dyDescent="0.3">
      <c r="A32" s="81">
        <v>20090398</v>
      </c>
      <c r="B32" s="5">
        <v>1143831936</v>
      </c>
      <c r="C32" s="36" t="s">
        <v>950</v>
      </c>
      <c r="D32" s="36" t="s">
        <v>3456</v>
      </c>
      <c r="E32" s="39">
        <v>30</v>
      </c>
      <c r="F32" s="37">
        <v>0</v>
      </c>
      <c r="G32" s="37">
        <v>0</v>
      </c>
      <c r="H32" s="38">
        <v>7378396</v>
      </c>
      <c r="I32" s="39">
        <v>7378396</v>
      </c>
      <c r="J32" s="38">
        <v>774100</v>
      </c>
      <c r="K32" s="39">
        <v>8152496</v>
      </c>
      <c r="L32" s="39">
        <v>3260998</v>
      </c>
      <c r="M32" s="39"/>
      <c r="N32" s="39"/>
      <c r="O32" s="39"/>
      <c r="P32" s="38">
        <v>7378396</v>
      </c>
      <c r="Q32" s="39">
        <v>0</v>
      </c>
      <c r="R32" s="39">
        <v>0</v>
      </c>
      <c r="S32" s="40"/>
      <c r="T32" s="38">
        <v>0</v>
      </c>
      <c r="U32" s="40"/>
      <c r="V32" s="40">
        <v>295136</v>
      </c>
      <c r="W32" s="42"/>
      <c r="X32" s="40"/>
      <c r="Y32" s="40">
        <v>295136</v>
      </c>
      <c r="Z32" s="42"/>
      <c r="AA32" s="40"/>
      <c r="AB32" s="40"/>
      <c r="AC32" s="40">
        <v>73800</v>
      </c>
      <c r="AD32" s="42"/>
      <c r="AF32">
        <f>VLOOKUP(A32,Devengos!$A$4:$I$389,9,0)</f>
        <v>7378396</v>
      </c>
      <c r="AG32">
        <f t="shared" si="14"/>
        <v>7378396</v>
      </c>
      <c r="AH32">
        <f>IFERROR(VLOOKUP(B32,'Planilla Mes anterior'!$CX:$CY,2,0),0)</f>
        <v>7378396</v>
      </c>
      <c r="AJ32" s="95">
        <v>0</v>
      </c>
    </row>
    <row r="33" spans="1:36" x14ac:dyDescent="0.3">
      <c r="A33" s="81">
        <v>20090881</v>
      </c>
      <c r="B33" s="5">
        <v>79957003</v>
      </c>
      <c r="C33" s="36" t="s">
        <v>954</v>
      </c>
      <c r="D33" s="36" t="s">
        <v>3456</v>
      </c>
      <c r="E33" s="39">
        <v>30</v>
      </c>
      <c r="F33" s="37">
        <v>0</v>
      </c>
      <c r="G33" s="37">
        <v>0</v>
      </c>
      <c r="H33" s="38">
        <v>9870390</v>
      </c>
      <c r="I33" s="39">
        <v>9870390</v>
      </c>
      <c r="J33" s="38">
        <v>1468736</v>
      </c>
      <c r="K33" s="39">
        <v>11339126</v>
      </c>
      <c r="L33" s="39">
        <v>4535650</v>
      </c>
      <c r="M33" s="39"/>
      <c r="N33" s="39"/>
      <c r="O33" s="39"/>
      <c r="P33" s="38">
        <v>9870390</v>
      </c>
      <c r="Q33" s="39">
        <v>0</v>
      </c>
      <c r="R33" s="39">
        <v>0</v>
      </c>
      <c r="S33" s="40"/>
      <c r="T33" s="38">
        <v>0</v>
      </c>
      <c r="U33" s="40"/>
      <c r="V33" s="40">
        <v>394816</v>
      </c>
      <c r="W33" s="42"/>
      <c r="X33" s="40"/>
      <c r="Y33" s="40">
        <v>394816</v>
      </c>
      <c r="Z33" s="42"/>
      <c r="AA33" s="40"/>
      <c r="AB33" s="40"/>
      <c r="AC33" s="40">
        <v>98800</v>
      </c>
      <c r="AD33" s="42"/>
      <c r="AF33">
        <f>VLOOKUP(A33,Devengos!$A$4:$I$389,9,0)</f>
        <v>9870390</v>
      </c>
      <c r="AG33">
        <f t="shared" si="14"/>
        <v>9870390</v>
      </c>
      <c r="AH33">
        <f>IFERROR(VLOOKUP(B33,'Planilla Mes anterior'!$CX:$CY,2,0),0)</f>
        <v>9870390</v>
      </c>
      <c r="AJ33" s="95">
        <v>0</v>
      </c>
    </row>
    <row r="34" spans="1:36" x14ac:dyDescent="0.3">
      <c r="A34" s="81">
        <v>20091394</v>
      </c>
      <c r="B34" s="5">
        <v>1053779507.0000001</v>
      </c>
      <c r="C34" s="36" t="s">
        <v>960</v>
      </c>
      <c r="D34" s="36" t="s">
        <v>3344</v>
      </c>
      <c r="E34" s="39">
        <v>31</v>
      </c>
      <c r="F34" s="37">
        <v>10</v>
      </c>
      <c r="G34" s="37">
        <v>0</v>
      </c>
      <c r="H34" s="38">
        <v>19800886</v>
      </c>
      <c r="I34" s="39">
        <v>13860620</v>
      </c>
      <c r="J34" s="38">
        <v>897900</v>
      </c>
      <c r="K34" s="39">
        <v>20698786</v>
      </c>
      <c r="L34" s="39">
        <v>8279514</v>
      </c>
      <c r="M34" s="39"/>
      <c r="N34" s="39"/>
      <c r="O34" s="39"/>
      <c r="P34" s="38">
        <v>17552468</v>
      </c>
      <c r="Q34" s="39">
        <v>5850823</v>
      </c>
      <c r="R34" s="39">
        <v>0</v>
      </c>
      <c r="S34" s="40"/>
      <c r="T34" s="38"/>
      <c r="U34" s="40"/>
      <c r="V34" s="40">
        <v>788457</v>
      </c>
      <c r="W34" s="42"/>
      <c r="X34" s="40"/>
      <c r="Y34" s="40">
        <v>788457</v>
      </c>
      <c r="Z34" s="42"/>
      <c r="AA34" s="40"/>
      <c r="AB34" s="40"/>
      <c r="AC34" s="40">
        <v>197600</v>
      </c>
      <c r="AD34" s="42"/>
      <c r="AF34">
        <f>VLOOKUP(A34,Devengos!$A$4:$I$389,9,0)</f>
        <v>22761766</v>
      </c>
      <c r="AG34">
        <f t="shared" si="14"/>
        <v>15933236</v>
      </c>
      <c r="AH34">
        <f>IFERROR(VLOOKUP(B34,'Planilla Mes anterior'!$CX:$CY,2,0),0)</f>
        <v>17552468</v>
      </c>
      <c r="AJ34" s="95">
        <v>0</v>
      </c>
    </row>
    <row r="35" spans="1:36" x14ac:dyDescent="0.3">
      <c r="A35" s="81">
        <v>20092674</v>
      </c>
      <c r="B35" s="5">
        <v>52910485</v>
      </c>
      <c r="C35" s="36" t="s">
        <v>967</v>
      </c>
      <c r="D35" s="36" t="s">
        <v>3456</v>
      </c>
      <c r="E35" s="39">
        <v>30</v>
      </c>
      <c r="F35" s="37">
        <v>0</v>
      </c>
      <c r="G35" s="37">
        <v>0</v>
      </c>
      <c r="H35" s="38">
        <v>6864198</v>
      </c>
      <c r="I35" s="39">
        <v>6864198</v>
      </c>
      <c r="J35" s="38">
        <v>700300</v>
      </c>
      <c r="K35" s="39">
        <v>7564498</v>
      </c>
      <c r="L35" s="39">
        <v>3025799</v>
      </c>
      <c r="M35" s="39"/>
      <c r="N35" s="39"/>
      <c r="O35" s="39"/>
      <c r="P35" s="38">
        <v>6864198</v>
      </c>
      <c r="Q35" s="39">
        <v>0</v>
      </c>
      <c r="R35" s="39">
        <v>0</v>
      </c>
      <c r="S35" s="40"/>
      <c r="T35" s="38">
        <v>0</v>
      </c>
      <c r="U35" s="40"/>
      <c r="V35" s="40">
        <v>274568</v>
      </c>
      <c r="W35" s="42"/>
      <c r="X35" s="40"/>
      <c r="Y35" s="40">
        <v>274568</v>
      </c>
      <c r="Z35" s="42"/>
      <c r="AA35" s="40"/>
      <c r="AB35" s="40"/>
      <c r="AC35" s="40">
        <v>0</v>
      </c>
      <c r="AD35" s="42"/>
      <c r="AF35">
        <f>VLOOKUP(A35,Devengos!$A$4:$I$389,9,0)</f>
        <v>6864198</v>
      </c>
      <c r="AG35">
        <f t="shared" si="14"/>
        <v>6864198</v>
      </c>
      <c r="AH35">
        <f>IFERROR(VLOOKUP(B35,'Planilla Mes anterior'!$CX:$CY,2,0),0)</f>
        <v>6864198</v>
      </c>
      <c r="AJ35" s="95">
        <v>0</v>
      </c>
    </row>
    <row r="36" spans="1:36" x14ac:dyDescent="0.3">
      <c r="A36" s="81">
        <v>20095697</v>
      </c>
      <c r="B36" s="5">
        <v>52704384</v>
      </c>
      <c r="C36" s="36" t="s">
        <v>973</v>
      </c>
      <c r="D36" s="36" t="s">
        <v>3456</v>
      </c>
      <c r="E36" s="39">
        <v>31</v>
      </c>
      <c r="F36" s="37">
        <v>0</v>
      </c>
      <c r="G36" s="37">
        <v>0</v>
      </c>
      <c r="H36" s="38">
        <v>4707860</v>
      </c>
      <c r="I36" s="39">
        <v>4707860</v>
      </c>
      <c r="J36" s="38">
        <v>760609</v>
      </c>
      <c r="K36" s="39">
        <v>5468469</v>
      </c>
      <c r="L36" s="39">
        <v>2187388</v>
      </c>
      <c r="M36" s="39"/>
      <c r="N36" s="39"/>
      <c r="O36" s="39"/>
      <c r="P36" s="38">
        <v>3713188</v>
      </c>
      <c r="Q36" s="39">
        <v>0</v>
      </c>
      <c r="R36" s="39">
        <v>0</v>
      </c>
      <c r="S36" s="40"/>
      <c r="T36" s="38">
        <v>0</v>
      </c>
      <c r="U36" s="40"/>
      <c r="V36" s="40">
        <v>188314</v>
      </c>
      <c r="W36" s="42"/>
      <c r="X36" s="40"/>
      <c r="Y36" s="40">
        <v>188314</v>
      </c>
      <c r="Z36" s="42"/>
      <c r="AA36" s="40"/>
      <c r="AB36" s="40"/>
      <c r="AC36" s="40">
        <v>0</v>
      </c>
      <c r="AD36" s="42"/>
      <c r="AF36">
        <f>VLOOKUP(A36,Devengos!$A$4:$I$389,9,0)</f>
        <v>3713187.9391999999</v>
      </c>
      <c r="AG36">
        <f t="shared" si="14"/>
        <v>3713187.9391999999</v>
      </c>
      <c r="AH36">
        <f>IFERROR(VLOOKUP(B36,'Planilla Mes anterior'!$CX:$CY,2,0),0)</f>
        <v>3713188</v>
      </c>
      <c r="AJ36" s="95">
        <v>0</v>
      </c>
    </row>
    <row r="37" spans="1:36" x14ac:dyDescent="0.3">
      <c r="A37" s="81">
        <v>20096418</v>
      </c>
      <c r="B37" s="5">
        <v>80093596</v>
      </c>
      <c r="C37" s="36" t="s">
        <v>978</v>
      </c>
      <c r="D37" s="36" t="s">
        <v>3344</v>
      </c>
      <c r="E37" s="39">
        <v>30</v>
      </c>
      <c r="F37" s="37">
        <v>1</v>
      </c>
      <c r="G37" s="37">
        <v>0</v>
      </c>
      <c r="H37" s="38">
        <v>26798161</v>
      </c>
      <c r="I37" s="39">
        <v>18758713</v>
      </c>
      <c r="J37" s="38">
        <v>1439924</v>
      </c>
      <c r="K37" s="39">
        <v>28238085</v>
      </c>
      <c r="L37" s="39">
        <v>11295234</v>
      </c>
      <c r="M37" s="39"/>
      <c r="N37" s="39"/>
      <c r="O37" s="39"/>
      <c r="P37" s="38">
        <v>19405565</v>
      </c>
      <c r="Q37" s="39">
        <v>646852</v>
      </c>
      <c r="R37" s="39">
        <v>0</v>
      </c>
      <c r="S37" s="40"/>
      <c r="T37" s="38"/>
      <c r="U37" s="40"/>
      <c r="V37" s="40">
        <v>776223</v>
      </c>
      <c r="W37" s="42"/>
      <c r="X37" s="40"/>
      <c r="Y37" s="40">
        <v>776223</v>
      </c>
      <c r="Z37" s="42"/>
      <c r="AA37" s="40"/>
      <c r="AB37" s="40"/>
      <c r="AC37" s="40">
        <v>194200</v>
      </c>
      <c r="AD37" s="42"/>
      <c r="AF37">
        <f>VLOOKUP(A37,Devengos!$A$4:$I$389,9,0)</f>
        <v>27722235</v>
      </c>
      <c r="AG37">
        <f t="shared" si="14"/>
        <v>19405565</v>
      </c>
      <c r="AH37">
        <f>IFERROR(VLOOKUP(B37,'Planilla Mes anterior'!$CX:$CY,2,0),0)</f>
        <v>19405565</v>
      </c>
      <c r="AJ37" s="95">
        <v>0</v>
      </c>
    </row>
    <row r="38" spans="1:36" x14ac:dyDescent="0.3">
      <c r="A38" s="81">
        <v>20097480</v>
      </c>
      <c r="B38" s="5">
        <v>29659821</v>
      </c>
      <c r="C38" s="36" t="s">
        <v>983</v>
      </c>
      <c r="D38" s="36" t="s">
        <v>3456</v>
      </c>
      <c r="E38" s="39">
        <v>31</v>
      </c>
      <c r="F38" s="37">
        <v>0</v>
      </c>
      <c r="G38" s="37">
        <v>0</v>
      </c>
      <c r="H38" s="38">
        <v>13337351</v>
      </c>
      <c r="I38" s="39">
        <v>13337351</v>
      </c>
      <c r="J38" s="38">
        <v>833700</v>
      </c>
      <c r="K38" s="39">
        <v>14171051</v>
      </c>
      <c r="L38" s="39">
        <v>5668420</v>
      </c>
      <c r="M38" s="39"/>
      <c r="N38" s="39"/>
      <c r="O38" s="39"/>
      <c r="P38" s="38">
        <v>16092832</v>
      </c>
      <c r="Q38" s="39">
        <v>0</v>
      </c>
      <c r="R38" s="39">
        <v>0</v>
      </c>
      <c r="S38" s="40"/>
      <c r="T38" s="38">
        <v>0</v>
      </c>
      <c r="U38" s="40"/>
      <c r="V38" s="40">
        <v>533494</v>
      </c>
      <c r="W38" s="42"/>
      <c r="X38" s="40"/>
      <c r="Y38" s="40">
        <v>533494</v>
      </c>
      <c r="Z38" s="42"/>
      <c r="AA38" s="40"/>
      <c r="AB38" s="40"/>
      <c r="AC38" s="40">
        <v>133400</v>
      </c>
      <c r="AD38" s="42"/>
      <c r="AF38">
        <f>VLOOKUP(A38,Devengos!$A$4:$I$389,9,0)</f>
        <v>12245238.501700001</v>
      </c>
      <c r="AG38">
        <f t="shared" si="14"/>
        <v>12245238.501700001</v>
      </c>
      <c r="AH38">
        <f>IFERROR(VLOOKUP(B38,'Planilla Mes anterior'!$CX:$CY,2,0),0)</f>
        <v>16092832</v>
      </c>
      <c r="AJ38" s="95">
        <v>0</v>
      </c>
    </row>
    <row r="39" spans="1:36" x14ac:dyDescent="0.3">
      <c r="A39" s="81">
        <v>20097763</v>
      </c>
      <c r="B39" s="5">
        <v>80124057</v>
      </c>
      <c r="C39" s="36" t="s">
        <v>987</v>
      </c>
      <c r="D39" s="36" t="s">
        <v>3456</v>
      </c>
      <c r="E39" s="39">
        <v>31</v>
      </c>
      <c r="F39" s="37">
        <v>0</v>
      </c>
      <c r="G39" s="37">
        <v>0</v>
      </c>
      <c r="H39" s="38">
        <v>15632953</v>
      </c>
      <c r="I39" s="39">
        <v>15632953</v>
      </c>
      <c r="J39" s="38">
        <v>856700</v>
      </c>
      <c r="K39" s="39">
        <v>16489653</v>
      </c>
      <c r="L39" s="39">
        <v>6595861</v>
      </c>
      <c r="M39" s="39"/>
      <c r="N39" s="39"/>
      <c r="O39" s="39"/>
      <c r="P39" s="38">
        <v>14884659</v>
      </c>
      <c r="Q39" s="39">
        <v>0</v>
      </c>
      <c r="R39" s="39">
        <v>0</v>
      </c>
      <c r="S39" s="40"/>
      <c r="T39" s="38">
        <v>0</v>
      </c>
      <c r="U39" s="40"/>
      <c r="V39" s="40">
        <v>625318</v>
      </c>
      <c r="W39" s="42"/>
      <c r="X39" s="40"/>
      <c r="Y39" s="40">
        <v>625318</v>
      </c>
      <c r="Z39" s="42"/>
      <c r="AA39" s="40"/>
      <c r="AB39" s="40"/>
      <c r="AC39" s="40">
        <v>156400</v>
      </c>
      <c r="AD39" s="42"/>
      <c r="AF39">
        <f>VLOOKUP(A39,Devengos!$A$4:$I$389,9,0)</f>
        <v>12639772.3883</v>
      </c>
      <c r="AG39">
        <f t="shared" si="14"/>
        <v>12639772.3883</v>
      </c>
      <c r="AH39">
        <f>IFERROR(VLOOKUP(B39,'Planilla Mes anterior'!$CX:$CY,2,0),0)</f>
        <v>14884659</v>
      </c>
      <c r="AJ39" s="95">
        <v>0</v>
      </c>
    </row>
    <row r="40" spans="1:36" x14ac:dyDescent="0.3">
      <c r="A40" s="81">
        <v>20098732</v>
      </c>
      <c r="B40" s="5">
        <v>53010880</v>
      </c>
      <c r="C40" s="36" t="s">
        <v>991</v>
      </c>
      <c r="D40" s="36" t="s">
        <v>3456</v>
      </c>
      <c r="E40" s="39">
        <v>30</v>
      </c>
      <c r="F40" s="37">
        <v>0</v>
      </c>
      <c r="G40" s="37">
        <v>0</v>
      </c>
      <c r="H40" s="38">
        <v>9483131</v>
      </c>
      <c r="I40" s="39">
        <v>9483131</v>
      </c>
      <c r="J40" s="38">
        <v>795300</v>
      </c>
      <c r="K40" s="39">
        <v>10278431</v>
      </c>
      <c r="L40" s="39">
        <v>4111372</v>
      </c>
      <c r="M40" s="39"/>
      <c r="N40" s="39"/>
      <c r="O40" s="39"/>
      <c r="P40" s="38">
        <v>9595056</v>
      </c>
      <c r="Q40" s="39">
        <v>0</v>
      </c>
      <c r="R40" s="39">
        <v>0</v>
      </c>
      <c r="S40" s="40"/>
      <c r="T40" s="38">
        <v>0</v>
      </c>
      <c r="U40" s="40"/>
      <c r="V40" s="40">
        <v>379325</v>
      </c>
      <c r="W40" s="42"/>
      <c r="X40" s="40"/>
      <c r="Y40" s="40">
        <v>379325</v>
      </c>
      <c r="Z40" s="42"/>
      <c r="AA40" s="40"/>
      <c r="AB40" s="40"/>
      <c r="AC40" s="40">
        <v>95000</v>
      </c>
      <c r="AD40" s="42"/>
      <c r="AF40">
        <f>VLOOKUP(A40,Devengos!$A$4:$I$389,9,0)</f>
        <v>9483131</v>
      </c>
      <c r="AG40">
        <f t="shared" si="14"/>
        <v>9483131</v>
      </c>
      <c r="AH40">
        <f>IFERROR(VLOOKUP(B40,'Planilla Mes anterior'!$CX:$CY,2,0),0)</f>
        <v>9595056</v>
      </c>
      <c r="AJ40" s="95">
        <v>0</v>
      </c>
    </row>
    <row r="41" spans="1:36" x14ac:dyDescent="0.3">
      <c r="A41" s="81">
        <v>20099217</v>
      </c>
      <c r="B41" s="5">
        <v>1070966227.0000001</v>
      </c>
      <c r="C41" s="36" t="s">
        <v>994</v>
      </c>
      <c r="D41" s="36" t="s">
        <v>3456</v>
      </c>
      <c r="E41" s="39">
        <v>30</v>
      </c>
      <c r="F41" s="37">
        <v>0</v>
      </c>
      <c r="G41" s="37">
        <v>0</v>
      </c>
      <c r="H41" s="38">
        <v>8565526</v>
      </c>
      <c r="I41" s="39">
        <v>8565526</v>
      </c>
      <c r="J41" s="38">
        <v>786100</v>
      </c>
      <c r="K41" s="39">
        <v>9351626</v>
      </c>
      <c r="L41" s="39">
        <v>3740650</v>
      </c>
      <c r="M41" s="39"/>
      <c r="N41" s="39"/>
      <c r="O41" s="39"/>
      <c r="P41" s="38">
        <v>8570675</v>
      </c>
      <c r="Q41" s="39">
        <v>0</v>
      </c>
      <c r="R41" s="39">
        <v>0</v>
      </c>
      <c r="S41" s="40"/>
      <c r="T41" s="38">
        <v>0</v>
      </c>
      <c r="U41" s="40"/>
      <c r="V41" s="40">
        <v>342621</v>
      </c>
      <c r="W41" s="42"/>
      <c r="X41" s="40"/>
      <c r="Y41" s="40">
        <v>342621</v>
      </c>
      <c r="Z41" s="42"/>
      <c r="AA41" s="40"/>
      <c r="AB41" s="40"/>
      <c r="AC41" s="40">
        <v>85800</v>
      </c>
      <c r="AD41" s="42"/>
      <c r="AF41">
        <f>VLOOKUP(A41,Devengos!$A$4:$I$389,9,0)</f>
        <v>8565526</v>
      </c>
      <c r="AG41">
        <f t="shared" si="14"/>
        <v>8565526</v>
      </c>
      <c r="AH41">
        <f>IFERROR(VLOOKUP(B41,'Planilla Mes anterior'!$CX:$CY,2,0),0)</f>
        <v>8570675</v>
      </c>
      <c r="AJ41" s="95">
        <v>0</v>
      </c>
    </row>
    <row r="42" spans="1:36" x14ac:dyDescent="0.3">
      <c r="A42" s="81">
        <v>20100638</v>
      </c>
      <c r="B42" s="5">
        <v>25291403</v>
      </c>
      <c r="C42" s="36" t="s">
        <v>997</v>
      </c>
      <c r="D42" s="36" t="s">
        <v>3456</v>
      </c>
      <c r="E42" s="39">
        <v>30</v>
      </c>
      <c r="F42" s="37">
        <v>2</v>
      </c>
      <c r="G42" s="37">
        <v>0</v>
      </c>
      <c r="H42" s="38">
        <v>8359020</v>
      </c>
      <c r="I42" s="39">
        <v>8359020</v>
      </c>
      <c r="J42" s="38">
        <v>789900</v>
      </c>
      <c r="K42" s="39">
        <v>9148920</v>
      </c>
      <c r="L42" s="39">
        <v>3659568</v>
      </c>
      <c r="M42" s="39"/>
      <c r="N42" s="39"/>
      <c r="O42" s="39"/>
      <c r="P42" s="38">
        <v>8956093</v>
      </c>
      <c r="Q42" s="39">
        <v>597073</v>
      </c>
      <c r="R42" s="39">
        <v>0</v>
      </c>
      <c r="S42" s="40"/>
      <c r="T42" s="38">
        <v>0</v>
      </c>
      <c r="U42" s="40"/>
      <c r="V42" s="40">
        <v>358244</v>
      </c>
      <c r="W42" s="42"/>
      <c r="X42" s="40"/>
      <c r="Y42" s="40">
        <v>358244</v>
      </c>
      <c r="Z42" s="42"/>
      <c r="AA42" s="40"/>
      <c r="AB42" s="40"/>
      <c r="AC42" s="40">
        <v>89600</v>
      </c>
      <c r="AD42" s="42"/>
      <c r="AF42">
        <f>VLOOKUP(A42,Devengos!$A$4:$I$389,9,0)</f>
        <v>8956093</v>
      </c>
      <c r="AG42">
        <f t="shared" si="14"/>
        <v>8956093</v>
      </c>
      <c r="AH42">
        <f>IFERROR(VLOOKUP(B42,'Planilla Mes anterior'!$CX:$CY,2,0),0)</f>
        <v>8956093</v>
      </c>
      <c r="AJ42" s="95">
        <v>0</v>
      </c>
    </row>
    <row r="43" spans="1:36" x14ac:dyDescent="0.3">
      <c r="A43" s="81">
        <v>20101530</v>
      </c>
      <c r="B43" s="5">
        <v>73576977</v>
      </c>
      <c r="C43" s="36" t="s">
        <v>1002</v>
      </c>
      <c r="D43" s="36" t="s">
        <v>3456</v>
      </c>
      <c r="E43" s="39">
        <v>30</v>
      </c>
      <c r="F43" s="37">
        <v>0</v>
      </c>
      <c r="G43" s="37">
        <v>0</v>
      </c>
      <c r="H43" s="38">
        <v>7301885</v>
      </c>
      <c r="I43" s="39">
        <v>7301885</v>
      </c>
      <c r="J43" s="38">
        <v>773500</v>
      </c>
      <c r="K43" s="39">
        <v>8075385</v>
      </c>
      <c r="L43" s="39">
        <v>3230154</v>
      </c>
      <c r="M43" s="39"/>
      <c r="N43" s="39"/>
      <c r="O43" s="39"/>
      <c r="P43" s="38">
        <v>7301885</v>
      </c>
      <c r="Q43" s="39">
        <v>0</v>
      </c>
      <c r="R43" s="39">
        <v>0</v>
      </c>
      <c r="S43" s="40"/>
      <c r="T43" s="38">
        <v>0</v>
      </c>
      <c r="U43" s="40"/>
      <c r="V43" s="40">
        <v>292075</v>
      </c>
      <c r="W43" s="42"/>
      <c r="X43" s="40"/>
      <c r="Y43" s="40">
        <v>292075</v>
      </c>
      <c r="Z43" s="42"/>
      <c r="AA43" s="40"/>
      <c r="AB43" s="40"/>
      <c r="AC43" s="40">
        <v>73200</v>
      </c>
      <c r="AD43" s="42"/>
      <c r="AF43">
        <f>VLOOKUP(A43,Devengos!$A$4:$I$389,9,0)</f>
        <v>7301885</v>
      </c>
      <c r="AG43">
        <f t="shared" si="14"/>
        <v>7301885</v>
      </c>
      <c r="AH43">
        <f>IFERROR(VLOOKUP(B43,'Planilla Mes anterior'!$CX:$CY,2,0),0)</f>
        <v>7301885</v>
      </c>
      <c r="AJ43" s="95">
        <v>0</v>
      </c>
    </row>
    <row r="44" spans="1:36" x14ac:dyDescent="0.3">
      <c r="A44" s="81">
        <v>20102544</v>
      </c>
      <c r="B44" s="5">
        <v>1057575242</v>
      </c>
      <c r="C44" s="36" t="s">
        <v>1006</v>
      </c>
      <c r="D44" s="36" t="s">
        <v>3456</v>
      </c>
      <c r="E44" s="39">
        <v>30</v>
      </c>
      <c r="F44" s="37">
        <v>0</v>
      </c>
      <c r="G44" s="37">
        <v>0</v>
      </c>
      <c r="H44" s="38">
        <v>7670699</v>
      </c>
      <c r="I44" s="39">
        <v>7670699</v>
      </c>
      <c r="J44" s="38">
        <v>777100</v>
      </c>
      <c r="K44" s="39">
        <v>8447799</v>
      </c>
      <c r="L44" s="39">
        <v>3379120</v>
      </c>
      <c r="M44" s="39"/>
      <c r="N44" s="39"/>
      <c r="O44" s="39"/>
      <c r="P44" s="38">
        <v>7670699</v>
      </c>
      <c r="Q44" s="39">
        <v>0</v>
      </c>
      <c r="R44" s="39">
        <v>0</v>
      </c>
      <c r="S44" s="40"/>
      <c r="T44" s="38">
        <v>0</v>
      </c>
      <c r="U44" s="40"/>
      <c r="V44" s="40">
        <v>306828</v>
      </c>
      <c r="W44" s="42"/>
      <c r="X44" s="40"/>
      <c r="Y44" s="40">
        <v>306828</v>
      </c>
      <c r="Z44" s="42"/>
      <c r="AA44" s="40"/>
      <c r="AB44" s="40"/>
      <c r="AC44" s="40">
        <v>76800</v>
      </c>
      <c r="AD44" s="42"/>
      <c r="AF44">
        <f>VLOOKUP(A44,Devengos!$A$4:$I$389,9,0)</f>
        <v>7670699</v>
      </c>
      <c r="AG44">
        <f t="shared" si="14"/>
        <v>7670699</v>
      </c>
      <c r="AH44">
        <f>IFERROR(VLOOKUP(B44,'Planilla Mes anterior'!$CX:$CY,2,0),0)</f>
        <v>7670699</v>
      </c>
      <c r="AJ44" s="95">
        <v>0</v>
      </c>
    </row>
    <row r="45" spans="1:36" x14ac:dyDescent="0.3">
      <c r="A45" s="81">
        <v>20104631</v>
      </c>
      <c r="B45" s="5">
        <v>1127044383</v>
      </c>
      <c r="C45" s="36" t="s">
        <v>1011</v>
      </c>
      <c r="D45" s="36" t="s">
        <v>3456</v>
      </c>
      <c r="E45" s="39">
        <v>30</v>
      </c>
      <c r="F45" s="37">
        <v>0</v>
      </c>
      <c r="G45" s="37">
        <v>0</v>
      </c>
      <c r="H45" s="38">
        <v>10270325</v>
      </c>
      <c r="I45" s="39">
        <v>10270325</v>
      </c>
      <c r="J45" s="38">
        <v>803100</v>
      </c>
      <c r="K45" s="39">
        <v>11073425</v>
      </c>
      <c r="L45" s="39">
        <v>4429370</v>
      </c>
      <c r="M45" s="39"/>
      <c r="N45" s="39"/>
      <c r="O45" s="39"/>
      <c r="P45" s="38">
        <v>9147658</v>
      </c>
      <c r="Q45" s="39">
        <v>0</v>
      </c>
      <c r="R45" s="39">
        <v>0</v>
      </c>
      <c r="S45" s="40"/>
      <c r="T45" s="38">
        <v>0</v>
      </c>
      <c r="U45" s="40"/>
      <c r="V45" s="40">
        <v>410813</v>
      </c>
      <c r="W45" s="42"/>
      <c r="X45" s="40"/>
      <c r="Y45" s="40">
        <v>410813</v>
      </c>
      <c r="Z45" s="42"/>
      <c r="AA45" s="40"/>
      <c r="AB45" s="40"/>
      <c r="AC45" s="40">
        <v>102800</v>
      </c>
      <c r="AD45" s="42"/>
      <c r="AF45">
        <f>VLOOKUP(A45,Devengos!$A$4:$I$389,9,0)</f>
        <v>9147658</v>
      </c>
      <c r="AG45">
        <f t="shared" si="14"/>
        <v>9147658</v>
      </c>
      <c r="AH45">
        <f>IFERROR(VLOOKUP(B45,'Planilla Mes anterior'!$CX:$CY,2,0),0)</f>
        <v>9147658</v>
      </c>
      <c r="AJ45" s="95">
        <v>0</v>
      </c>
    </row>
    <row r="46" spans="1:36" x14ac:dyDescent="0.3">
      <c r="A46" s="81">
        <v>20105895</v>
      </c>
      <c r="B46" s="5">
        <v>1046195</v>
      </c>
      <c r="C46" s="36" t="s">
        <v>1017</v>
      </c>
      <c r="D46" s="36" t="s">
        <v>3456</v>
      </c>
      <c r="E46" s="39">
        <v>30</v>
      </c>
      <c r="F46" s="37">
        <v>0</v>
      </c>
      <c r="G46" s="37">
        <v>0</v>
      </c>
      <c r="H46" s="38">
        <v>14893496</v>
      </c>
      <c r="I46" s="39">
        <v>14893496</v>
      </c>
      <c r="J46" s="38">
        <v>1014278</v>
      </c>
      <c r="K46" s="39">
        <v>15907774</v>
      </c>
      <c r="L46" s="39">
        <v>6363110</v>
      </c>
      <c r="M46" s="39"/>
      <c r="N46" s="39"/>
      <c r="O46" s="39"/>
      <c r="P46" s="38">
        <v>24134297</v>
      </c>
      <c r="Q46" s="39">
        <v>0</v>
      </c>
      <c r="R46" s="39">
        <v>0</v>
      </c>
      <c r="S46" s="40"/>
      <c r="T46" s="38">
        <v>0</v>
      </c>
      <c r="U46" s="40"/>
      <c r="V46" s="40">
        <v>595740</v>
      </c>
      <c r="W46" s="42"/>
      <c r="X46" s="40"/>
      <c r="Y46" s="40">
        <v>595740</v>
      </c>
      <c r="Z46" s="42"/>
      <c r="AA46" s="40"/>
      <c r="AB46" s="40"/>
      <c r="AC46" s="40">
        <v>149000</v>
      </c>
      <c r="AD46" s="42"/>
      <c r="AF46">
        <f>VLOOKUP(A46,Devengos!$A$4:$I$389,9,0)</f>
        <v>12529900</v>
      </c>
      <c r="AG46">
        <f t="shared" si="14"/>
        <v>12529900</v>
      </c>
      <c r="AH46">
        <f>IFERROR(VLOOKUP(B46,'Planilla Mes anterior'!$CX:$CY,2,0),0)</f>
        <v>24134297</v>
      </c>
      <c r="AJ46" s="95">
        <v>0</v>
      </c>
    </row>
    <row r="47" spans="1:36" x14ac:dyDescent="0.3">
      <c r="A47" s="81">
        <v>20105947</v>
      </c>
      <c r="B47" s="5">
        <v>1032388079.0000001</v>
      </c>
      <c r="C47" s="36" t="s">
        <v>1021</v>
      </c>
      <c r="D47" s="36" t="s">
        <v>3456</v>
      </c>
      <c r="E47" s="39">
        <v>30</v>
      </c>
      <c r="F47" s="37">
        <v>16</v>
      </c>
      <c r="G47" s="37">
        <v>0</v>
      </c>
      <c r="H47" s="38">
        <v>3659004</v>
      </c>
      <c r="I47" s="39">
        <v>3659004</v>
      </c>
      <c r="J47" s="38">
        <v>788100</v>
      </c>
      <c r="K47" s="39">
        <v>4447104</v>
      </c>
      <c r="L47" s="39">
        <v>1778842</v>
      </c>
      <c r="M47" s="39"/>
      <c r="N47" s="39"/>
      <c r="O47" s="39"/>
      <c r="P47" s="38">
        <v>9488488</v>
      </c>
      <c r="Q47" s="39">
        <v>5060527</v>
      </c>
      <c r="R47" s="39">
        <v>0</v>
      </c>
      <c r="S47" s="40"/>
      <c r="T47" s="38">
        <v>0</v>
      </c>
      <c r="U47" s="40"/>
      <c r="V47" s="40">
        <v>348782</v>
      </c>
      <c r="W47" s="42"/>
      <c r="X47" s="40"/>
      <c r="Y47" s="40">
        <v>348782</v>
      </c>
      <c r="Z47" s="42"/>
      <c r="AA47" s="40"/>
      <c r="AB47" s="40"/>
      <c r="AC47" s="40">
        <v>87800</v>
      </c>
      <c r="AD47" s="42"/>
      <c r="AF47">
        <f>VLOOKUP(A47,Devengos!$A$4:$I$389,9,0)</f>
        <v>7840722</v>
      </c>
      <c r="AG47">
        <f t="shared" si="14"/>
        <v>7840722</v>
      </c>
      <c r="AH47">
        <f>IFERROR(VLOOKUP(B47,'Planilla Mes anterior'!$CX:$CY,2,0),0)</f>
        <v>9488488</v>
      </c>
      <c r="AJ47" s="95">
        <v>0</v>
      </c>
    </row>
    <row r="48" spans="1:36" x14ac:dyDescent="0.3">
      <c r="A48" s="81">
        <v>20106287</v>
      </c>
      <c r="B48" s="5">
        <v>2000025921.9999998</v>
      </c>
      <c r="C48" s="36" t="s">
        <v>1027</v>
      </c>
      <c r="D48" s="36" t="s">
        <v>3344</v>
      </c>
      <c r="E48" s="39">
        <v>30</v>
      </c>
      <c r="F48" s="37">
        <v>2</v>
      </c>
      <c r="G48" s="37">
        <v>0</v>
      </c>
      <c r="H48" s="38">
        <v>21244314</v>
      </c>
      <c r="I48" s="39">
        <v>14871020</v>
      </c>
      <c r="J48" s="38">
        <v>859900</v>
      </c>
      <c r="K48" s="39">
        <v>22104214</v>
      </c>
      <c r="L48" s="39">
        <v>8841686</v>
      </c>
      <c r="M48" s="39"/>
      <c r="N48" s="39"/>
      <c r="O48" s="39"/>
      <c r="P48" s="38">
        <v>15933236</v>
      </c>
      <c r="Q48" s="39">
        <v>1062216</v>
      </c>
      <c r="R48" s="39">
        <v>0</v>
      </c>
      <c r="S48" s="40"/>
      <c r="T48" s="38"/>
      <c r="U48" s="40"/>
      <c r="V48" s="40">
        <v>637330</v>
      </c>
      <c r="W48" s="42"/>
      <c r="X48" s="40"/>
      <c r="Y48" s="40">
        <v>637330</v>
      </c>
      <c r="Z48" s="42"/>
      <c r="AA48" s="40"/>
      <c r="AB48" s="40"/>
      <c r="AC48" s="40">
        <v>159600</v>
      </c>
      <c r="AD48" s="42"/>
      <c r="AF48">
        <f>VLOOKUP(A48,Devengos!$A$4:$I$389,9,0)</f>
        <v>22761765</v>
      </c>
      <c r="AG48">
        <f t="shared" si="14"/>
        <v>15933236</v>
      </c>
      <c r="AH48">
        <f>IFERROR(VLOOKUP(B48,'Planilla Mes anterior'!$CX:$CY,2,0),0)</f>
        <v>15933236</v>
      </c>
      <c r="AJ48" s="95">
        <v>0</v>
      </c>
    </row>
    <row r="49" spans="1:37" x14ac:dyDescent="0.3">
      <c r="A49" s="81">
        <v>20106320</v>
      </c>
      <c r="B49" s="5">
        <v>42112562</v>
      </c>
      <c r="C49" s="36" t="s">
        <v>1034</v>
      </c>
      <c r="D49" s="36" t="s">
        <v>3456</v>
      </c>
      <c r="E49" s="39">
        <v>31</v>
      </c>
      <c r="F49" s="37">
        <v>0</v>
      </c>
      <c r="G49" s="37">
        <v>0</v>
      </c>
      <c r="H49" s="38">
        <v>14589942</v>
      </c>
      <c r="I49" s="39">
        <v>14589942</v>
      </c>
      <c r="J49" s="38">
        <v>846300</v>
      </c>
      <c r="K49" s="39">
        <v>15436242</v>
      </c>
      <c r="L49" s="39">
        <v>6174497</v>
      </c>
      <c r="M49" s="39"/>
      <c r="N49" s="39"/>
      <c r="O49" s="39"/>
      <c r="P49" s="38">
        <v>8652404</v>
      </c>
      <c r="Q49" s="39">
        <v>0</v>
      </c>
      <c r="R49" s="39">
        <v>0</v>
      </c>
      <c r="S49" s="40"/>
      <c r="T49" s="38">
        <v>0</v>
      </c>
      <c r="U49" s="40"/>
      <c r="V49" s="40">
        <v>583598</v>
      </c>
      <c r="W49" s="42"/>
      <c r="X49" s="40"/>
      <c r="Y49" s="40">
        <v>583598</v>
      </c>
      <c r="Z49" s="42"/>
      <c r="AA49" s="40"/>
      <c r="AB49" s="40"/>
      <c r="AC49" s="40">
        <v>146000</v>
      </c>
      <c r="AD49" s="42"/>
      <c r="AF49">
        <f>VLOOKUP(A49,Devengos!$A$4:$I$389,9,0)</f>
        <v>8652403.5274999999</v>
      </c>
      <c r="AG49">
        <f t="shared" si="14"/>
        <v>8652403.5274999999</v>
      </c>
      <c r="AH49">
        <f>IFERROR(VLOOKUP(B49,'Planilla Mes anterior'!$CX:$CY,2,0),0)</f>
        <v>8652404</v>
      </c>
      <c r="AJ49" s="95">
        <v>0</v>
      </c>
    </row>
    <row r="50" spans="1:37" x14ac:dyDescent="0.3">
      <c r="A50" s="81">
        <v>20106429</v>
      </c>
      <c r="B50" s="5">
        <v>1069014</v>
      </c>
      <c r="C50" s="36" t="s">
        <v>1038</v>
      </c>
      <c r="D50" s="36" t="s">
        <v>3456</v>
      </c>
      <c r="E50" s="39">
        <v>30</v>
      </c>
      <c r="F50" s="37">
        <v>0</v>
      </c>
      <c r="G50" s="37">
        <v>0</v>
      </c>
      <c r="H50" s="38">
        <v>11850943</v>
      </c>
      <c r="I50" s="39">
        <v>11850943</v>
      </c>
      <c r="J50" s="38">
        <v>818900</v>
      </c>
      <c r="K50" s="39">
        <v>12669843</v>
      </c>
      <c r="L50" s="39">
        <v>5067937</v>
      </c>
      <c r="M50" s="39"/>
      <c r="N50" s="39"/>
      <c r="O50" s="39"/>
      <c r="P50" s="38">
        <v>11850943</v>
      </c>
      <c r="Q50" s="39">
        <v>0</v>
      </c>
      <c r="R50" s="39">
        <v>0</v>
      </c>
      <c r="S50" s="40"/>
      <c r="T50" s="38">
        <v>0</v>
      </c>
      <c r="U50" s="40"/>
      <c r="V50" s="40">
        <v>474038</v>
      </c>
      <c r="W50" s="42"/>
      <c r="X50" s="40"/>
      <c r="Y50" s="40">
        <v>474038</v>
      </c>
      <c r="Z50" s="42"/>
      <c r="AA50" s="40"/>
      <c r="AB50" s="40"/>
      <c r="AC50" s="40">
        <v>118600</v>
      </c>
      <c r="AD50" s="42"/>
      <c r="AF50">
        <f>VLOOKUP(A50,Devengos!$A$4:$I$389,9,0)</f>
        <v>11850942.922499999</v>
      </c>
      <c r="AG50">
        <f t="shared" si="14"/>
        <v>11850942.922499999</v>
      </c>
      <c r="AH50">
        <f>IFERROR(VLOOKUP(B50,'Planilla Mes anterior'!$CX:$CY,2,0),0)</f>
        <v>11850943</v>
      </c>
      <c r="AJ50" s="95">
        <v>0</v>
      </c>
    </row>
    <row r="51" spans="1:37" x14ac:dyDescent="0.3">
      <c r="A51" s="81">
        <v>20106507</v>
      </c>
      <c r="B51" s="5">
        <v>1020417292</v>
      </c>
      <c r="C51" s="36" t="s">
        <v>1045</v>
      </c>
      <c r="D51" s="36" t="s">
        <v>3456</v>
      </c>
      <c r="E51" s="39">
        <v>32</v>
      </c>
      <c r="F51" s="37">
        <v>0</v>
      </c>
      <c r="G51" s="37">
        <v>0</v>
      </c>
      <c r="H51" s="38">
        <v>9399198</v>
      </c>
      <c r="I51" s="39">
        <v>9399198</v>
      </c>
      <c r="J51" s="38">
        <v>794300</v>
      </c>
      <c r="K51" s="39">
        <v>10193498</v>
      </c>
      <c r="L51" s="39">
        <v>4077399</v>
      </c>
      <c r="M51" s="39"/>
      <c r="N51" s="39"/>
      <c r="O51" s="39"/>
      <c r="P51" s="38">
        <v>10091379</v>
      </c>
      <c r="Q51" s="39">
        <v>0</v>
      </c>
      <c r="R51" s="39">
        <v>0</v>
      </c>
      <c r="S51" s="40"/>
      <c r="T51" s="38">
        <v>0</v>
      </c>
      <c r="U51" s="40"/>
      <c r="V51" s="40">
        <v>375968</v>
      </c>
      <c r="W51" s="42"/>
      <c r="X51" s="40"/>
      <c r="Y51" s="40">
        <v>375968</v>
      </c>
      <c r="Z51" s="42"/>
      <c r="AA51" s="40"/>
      <c r="AB51" s="40"/>
      <c r="AC51" s="40">
        <v>94000</v>
      </c>
      <c r="AD51" s="42"/>
      <c r="AF51">
        <f>VLOOKUP(A51,Devengos!$A$4:$I$389,9,0)</f>
        <v>7655832</v>
      </c>
      <c r="AG51">
        <f t="shared" si="14"/>
        <v>7655832</v>
      </c>
      <c r="AH51">
        <f>IFERROR(VLOOKUP(B51,'Planilla Mes anterior'!$CX:$CY,2,0),0)</f>
        <v>10091379</v>
      </c>
      <c r="AJ51" s="95">
        <v>0</v>
      </c>
    </row>
    <row r="52" spans="1:37" x14ac:dyDescent="0.3">
      <c r="A52" s="81">
        <v>20106546</v>
      </c>
      <c r="B52" s="5">
        <v>1067535</v>
      </c>
      <c r="C52" s="36" t="s">
        <v>1048</v>
      </c>
      <c r="D52" s="36" t="s">
        <v>3456</v>
      </c>
      <c r="E52" s="39">
        <v>30</v>
      </c>
      <c r="F52" s="37">
        <v>0</v>
      </c>
      <c r="G52" s="37">
        <v>0</v>
      </c>
      <c r="H52" s="38">
        <v>7876682</v>
      </c>
      <c r="I52" s="39">
        <v>7876682</v>
      </c>
      <c r="J52" s="38">
        <v>1107742</v>
      </c>
      <c r="K52" s="39">
        <v>8984424</v>
      </c>
      <c r="L52" s="39">
        <v>3593770</v>
      </c>
      <c r="M52" s="39"/>
      <c r="N52" s="39"/>
      <c r="O52" s="39"/>
      <c r="P52" s="38">
        <v>7876682</v>
      </c>
      <c r="Q52" s="39">
        <v>0</v>
      </c>
      <c r="R52" s="39">
        <v>0</v>
      </c>
      <c r="S52" s="40"/>
      <c r="T52" s="38">
        <v>0</v>
      </c>
      <c r="U52" s="40"/>
      <c r="V52" s="40">
        <v>315067</v>
      </c>
      <c r="W52" s="42"/>
      <c r="X52" s="40"/>
      <c r="Y52" s="40">
        <v>315067</v>
      </c>
      <c r="Z52" s="42"/>
      <c r="AA52" s="40"/>
      <c r="AB52" s="40"/>
      <c r="AC52" s="40">
        <v>78800</v>
      </c>
      <c r="AD52" s="42"/>
      <c r="AF52">
        <f>VLOOKUP(A52,Devengos!$A$4:$I$389,9,0)</f>
        <v>7876682</v>
      </c>
      <c r="AG52">
        <f t="shared" si="14"/>
        <v>7876682</v>
      </c>
      <c r="AH52">
        <f>IFERROR(VLOOKUP(B52,'Planilla Mes anterior'!$CX:$CY,2,0),0)</f>
        <v>7876682</v>
      </c>
      <c r="AJ52" s="95">
        <v>0</v>
      </c>
    </row>
    <row r="53" spans="1:37" x14ac:dyDescent="0.3">
      <c r="A53" s="81">
        <v>20106931</v>
      </c>
      <c r="B53" s="5">
        <v>1055521</v>
      </c>
      <c r="C53" s="36" t="s">
        <v>1054</v>
      </c>
      <c r="D53" s="36" t="s">
        <v>3344</v>
      </c>
      <c r="E53" s="39">
        <v>31</v>
      </c>
      <c r="F53" s="37">
        <v>0</v>
      </c>
      <c r="G53" s="37">
        <v>0</v>
      </c>
      <c r="H53" s="38">
        <v>37426387</v>
      </c>
      <c r="I53" s="39">
        <v>26198471</v>
      </c>
      <c r="J53" s="38">
        <v>962300</v>
      </c>
      <c r="K53" s="39">
        <v>38388687</v>
      </c>
      <c r="L53" s="39">
        <v>15355475</v>
      </c>
      <c r="M53" s="39"/>
      <c r="N53" s="39"/>
      <c r="O53" s="39"/>
      <c r="P53" s="38">
        <v>15933237</v>
      </c>
      <c r="Q53" s="39">
        <v>0</v>
      </c>
      <c r="R53" s="39">
        <v>0</v>
      </c>
      <c r="S53" s="40"/>
      <c r="T53" s="38"/>
      <c r="U53" s="40"/>
      <c r="V53" s="40">
        <v>1047939</v>
      </c>
      <c r="W53" s="42"/>
      <c r="X53" s="40"/>
      <c r="Y53" s="40">
        <v>1047939</v>
      </c>
      <c r="Z53" s="42"/>
      <c r="AA53" s="40"/>
      <c r="AB53" s="40"/>
      <c r="AC53" s="40">
        <v>262000</v>
      </c>
      <c r="AD53" s="42"/>
      <c r="AF53">
        <f>VLOOKUP(A53,Devengos!$A$4:$I$389,9,0)</f>
        <v>22761765.833299998</v>
      </c>
      <c r="AG53">
        <f t="shared" si="14"/>
        <v>15933236</v>
      </c>
      <c r="AH53">
        <f>IFERROR(VLOOKUP(B53,'Planilla Mes anterior'!$CX:$CY,2,0),0)</f>
        <v>15933237</v>
      </c>
      <c r="AJ53" s="95">
        <v>0</v>
      </c>
    </row>
    <row r="54" spans="1:37" x14ac:dyDescent="0.3">
      <c r="A54" s="81">
        <v>20107557</v>
      </c>
      <c r="B54" s="5">
        <v>39744202</v>
      </c>
      <c r="C54" s="36" t="s">
        <v>1060</v>
      </c>
      <c r="D54" s="36" t="s">
        <v>3456</v>
      </c>
      <c r="E54" s="39">
        <v>30</v>
      </c>
      <c r="F54" s="37">
        <v>0</v>
      </c>
      <c r="G54" s="37">
        <v>2</v>
      </c>
      <c r="H54" s="38">
        <v>8888958</v>
      </c>
      <c r="I54" s="39">
        <v>8888958</v>
      </c>
      <c r="J54" s="38">
        <v>789500</v>
      </c>
      <c r="K54" s="39">
        <v>9678458</v>
      </c>
      <c r="L54" s="39">
        <v>3871383</v>
      </c>
      <c r="M54" s="39"/>
      <c r="N54" s="39"/>
      <c r="O54" s="39"/>
      <c r="P54" s="38">
        <v>8888960</v>
      </c>
      <c r="Q54" s="39">
        <v>0</v>
      </c>
      <c r="R54" s="39">
        <v>0</v>
      </c>
      <c r="S54" s="40"/>
      <c r="T54" s="38">
        <v>0</v>
      </c>
      <c r="U54" s="40"/>
      <c r="V54" s="40">
        <v>355558</v>
      </c>
      <c r="W54" s="42"/>
      <c r="X54" s="40"/>
      <c r="Y54" s="40">
        <v>355558</v>
      </c>
      <c r="Z54" s="42"/>
      <c r="AA54" s="40"/>
      <c r="AB54" s="40"/>
      <c r="AC54" s="40">
        <v>89200</v>
      </c>
      <c r="AD54" s="42"/>
      <c r="AF54">
        <f>VLOOKUP(A54,Devengos!$A$4:$I$389,9,0)</f>
        <v>8888959</v>
      </c>
      <c r="AG54">
        <f t="shared" si="14"/>
        <v>8888959</v>
      </c>
      <c r="AH54">
        <f>IFERROR(VLOOKUP(B54,'Planilla Mes anterior'!$CX:$CY,2,0),0)</f>
        <v>8888960</v>
      </c>
      <c r="AJ54" s="95">
        <v>0</v>
      </c>
    </row>
    <row r="55" spans="1:37" x14ac:dyDescent="0.3">
      <c r="A55" s="81">
        <v>20108116</v>
      </c>
      <c r="B55" s="5">
        <v>1018425238</v>
      </c>
      <c r="C55" s="36" t="s">
        <v>1068</v>
      </c>
      <c r="D55" s="36" t="s">
        <v>3456</v>
      </c>
      <c r="E55" s="39">
        <v>31</v>
      </c>
      <c r="F55" s="37">
        <v>0</v>
      </c>
      <c r="G55" s="37">
        <v>0</v>
      </c>
      <c r="H55" s="38">
        <v>21712763</v>
      </c>
      <c r="I55" s="39">
        <v>21712763</v>
      </c>
      <c r="J55" s="38">
        <v>917500</v>
      </c>
      <c r="K55" s="39">
        <v>22630263</v>
      </c>
      <c r="L55" s="39">
        <v>9052105</v>
      </c>
      <c r="M55" s="39"/>
      <c r="N55" s="39"/>
      <c r="O55" s="39"/>
      <c r="P55" s="38">
        <v>21712763</v>
      </c>
      <c r="Q55" s="39">
        <v>0</v>
      </c>
      <c r="R55" s="39">
        <v>0</v>
      </c>
      <c r="S55" s="40"/>
      <c r="T55" s="38">
        <v>0</v>
      </c>
      <c r="U55" s="40"/>
      <c r="V55" s="40">
        <v>868511</v>
      </c>
      <c r="W55" s="42"/>
      <c r="X55" s="40"/>
      <c r="Y55" s="40">
        <v>868511</v>
      </c>
      <c r="Z55" s="42"/>
      <c r="AA55" s="40"/>
      <c r="AB55" s="40"/>
      <c r="AC55" s="40">
        <v>217200</v>
      </c>
      <c r="AD55" s="42"/>
      <c r="AF55">
        <f>VLOOKUP(A55,Devengos!$A$4:$I$389,9,0)</f>
        <v>15451030.5858</v>
      </c>
      <c r="AG55">
        <f t="shared" si="14"/>
        <v>15451030.5858</v>
      </c>
      <c r="AH55">
        <f>IFERROR(VLOOKUP(B55,'Planilla Mes anterior'!$CX:$CY,2,0),0)</f>
        <v>21712763</v>
      </c>
      <c r="AJ55" s="95">
        <v>0</v>
      </c>
    </row>
    <row r="56" spans="1:37" x14ac:dyDescent="0.3">
      <c r="A56" s="81">
        <v>20108941</v>
      </c>
      <c r="B56" s="5">
        <v>71773168</v>
      </c>
      <c r="C56" s="36" t="s">
        <v>1073</v>
      </c>
      <c r="D56" s="36" t="s">
        <v>3344</v>
      </c>
      <c r="E56" s="39">
        <v>30</v>
      </c>
      <c r="F56" s="37">
        <v>0</v>
      </c>
      <c r="G56" s="37">
        <v>0</v>
      </c>
      <c r="H56" s="38">
        <v>39386666</v>
      </c>
      <c r="I56" s="39">
        <v>27570666</v>
      </c>
      <c r="J56" s="38">
        <v>976100</v>
      </c>
      <c r="K56" s="39">
        <v>40362766</v>
      </c>
      <c r="L56" s="39">
        <v>16145106</v>
      </c>
      <c r="M56" s="39"/>
      <c r="N56" s="39"/>
      <c r="O56" s="39"/>
      <c r="P56" s="38">
        <v>28934424</v>
      </c>
      <c r="Q56" s="39">
        <v>0</v>
      </c>
      <c r="R56" s="39">
        <v>0</v>
      </c>
      <c r="S56" s="40"/>
      <c r="T56" s="38"/>
      <c r="U56" s="40"/>
      <c r="V56" s="40">
        <v>1102827</v>
      </c>
      <c r="W56" s="42"/>
      <c r="X56" s="40"/>
      <c r="Y56" s="40">
        <v>1102827</v>
      </c>
      <c r="Z56" s="42"/>
      <c r="AA56" s="40"/>
      <c r="AB56" s="40"/>
      <c r="AC56" s="40">
        <v>275800</v>
      </c>
      <c r="AD56" s="42"/>
      <c r="AF56">
        <f>VLOOKUP(A56,Devengos!$A$4:$I$389,9,0)</f>
        <v>39386666</v>
      </c>
      <c r="AG56">
        <f t="shared" si="14"/>
        <v>27570666</v>
      </c>
      <c r="AH56">
        <f>IFERROR(VLOOKUP(B56,'Planilla Mes anterior'!$CX:$CY,2,0),0)</f>
        <v>28934424</v>
      </c>
      <c r="AJ56" s="95">
        <v>0</v>
      </c>
    </row>
    <row r="57" spans="1:37" x14ac:dyDescent="0.3">
      <c r="A57" s="81">
        <v>20109084</v>
      </c>
      <c r="B57" s="5">
        <v>22468372</v>
      </c>
      <c r="C57" s="36" t="s">
        <v>1078</v>
      </c>
      <c r="D57" s="36" t="s">
        <v>3344</v>
      </c>
      <c r="E57" s="39">
        <v>30</v>
      </c>
      <c r="F57" s="37">
        <v>0</v>
      </c>
      <c r="G57" s="37">
        <v>0</v>
      </c>
      <c r="H57" s="38">
        <v>22960781</v>
      </c>
      <c r="I57" s="39">
        <v>16072547</v>
      </c>
      <c r="J57" s="38">
        <v>861100</v>
      </c>
      <c r="K57" s="39">
        <v>23821881</v>
      </c>
      <c r="L57" s="39">
        <v>9528752</v>
      </c>
      <c r="M57" s="39"/>
      <c r="N57" s="39"/>
      <c r="O57" s="39"/>
      <c r="P57" s="38">
        <v>16072547</v>
      </c>
      <c r="Q57" s="39">
        <v>0</v>
      </c>
      <c r="R57" s="39">
        <v>0</v>
      </c>
      <c r="S57" s="40"/>
      <c r="T57" s="38"/>
      <c r="U57" s="40"/>
      <c r="V57" s="40">
        <v>642902</v>
      </c>
      <c r="W57" s="42"/>
      <c r="X57" s="40"/>
      <c r="Y57" s="40">
        <v>642902</v>
      </c>
      <c r="Z57" s="42"/>
      <c r="AA57" s="40"/>
      <c r="AB57" s="40"/>
      <c r="AC57" s="40">
        <v>160800</v>
      </c>
      <c r="AD57" s="42"/>
      <c r="AF57">
        <f>VLOOKUP(A57,Devengos!$A$4:$I$389,9,0)</f>
        <v>22960781</v>
      </c>
      <c r="AG57">
        <f t="shared" si="14"/>
        <v>16072547</v>
      </c>
      <c r="AH57">
        <f>IFERROR(VLOOKUP(B57,'Planilla Mes anterior'!$CX:$CY,2,0),0)</f>
        <v>16072547</v>
      </c>
      <c r="AJ57" s="95">
        <v>0</v>
      </c>
    </row>
    <row r="58" spans="1:37" x14ac:dyDescent="0.3">
      <c r="A58" s="81">
        <v>20109086</v>
      </c>
      <c r="B58" s="5">
        <v>1098715380</v>
      </c>
      <c r="C58" s="36" t="s">
        <v>1085</v>
      </c>
      <c r="D58" s="36" t="s">
        <v>3456</v>
      </c>
      <c r="E58" s="39">
        <v>30</v>
      </c>
      <c r="F58" s="37">
        <v>2</v>
      </c>
      <c r="G58" s="37">
        <v>0</v>
      </c>
      <c r="H58" s="38">
        <v>8143267</v>
      </c>
      <c r="I58" s="39">
        <v>8143267</v>
      </c>
      <c r="J58" s="38">
        <v>787900</v>
      </c>
      <c r="K58" s="39">
        <v>8931167</v>
      </c>
      <c r="L58" s="39">
        <v>3572467</v>
      </c>
      <c r="M58" s="39"/>
      <c r="N58" s="39"/>
      <c r="O58" s="39"/>
      <c r="P58" s="38">
        <v>8724929</v>
      </c>
      <c r="Q58" s="39">
        <v>581662</v>
      </c>
      <c r="R58" s="39">
        <v>0</v>
      </c>
      <c r="S58" s="40"/>
      <c r="T58" s="38">
        <v>0</v>
      </c>
      <c r="U58" s="40"/>
      <c r="V58" s="40">
        <v>348997</v>
      </c>
      <c r="W58" s="42"/>
      <c r="X58" s="40"/>
      <c r="Y58" s="40">
        <v>348997</v>
      </c>
      <c r="Z58" s="42"/>
      <c r="AA58" s="40"/>
      <c r="AB58" s="40"/>
      <c r="AC58" s="40">
        <v>87600</v>
      </c>
      <c r="AD58" s="42"/>
      <c r="AF58">
        <f>VLOOKUP(A58,Devengos!$A$4:$I$389,9,0)</f>
        <v>8724929</v>
      </c>
      <c r="AG58">
        <f t="shared" si="14"/>
        <v>8724929</v>
      </c>
      <c r="AH58">
        <f>IFERROR(VLOOKUP(B58,'Planilla Mes anterior'!$CX:$CY,2,0),0)</f>
        <v>8724929</v>
      </c>
      <c r="AJ58" s="95">
        <v>0</v>
      </c>
    </row>
    <row r="59" spans="1:37" x14ac:dyDescent="0.3">
      <c r="A59" s="81">
        <v>20109373</v>
      </c>
      <c r="B59" s="5">
        <v>15445652</v>
      </c>
      <c r="C59" s="36" t="s">
        <v>1092</v>
      </c>
      <c r="D59" s="36" t="s">
        <v>3344</v>
      </c>
      <c r="E59" s="39">
        <v>30</v>
      </c>
      <c r="F59" s="37">
        <v>2</v>
      </c>
      <c r="G59" s="37">
        <v>0</v>
      </c>
      <c r="H59" s="38">
        <v>21244314</v>
      </c>
      <c r="I59" s="39">
        <v>14871020</v>
      </c>
      <c r="J59" s="38">
        <v>861100</v>
      </c>
      <c r="K59" s="39">
        <v>22105414</v>
      </c>
      <c r="L59" s="39">
        <v>8842166</v>
      </c>
      <c r="M59" s="39"/>
      <c r="N59" s="39"/>
      <c r="O59" s="39"/>
      <c r="P59" s="38">
        <v>17854885</v>
      </c>
      <c r="Q59" s="39">
        <v>1190326</v>
      </c>
      <c r="R59" s="39">
        <v>0</v>
      </c>
      <c r="S59" s="40"/>
      <c r="T59" s="38"/>
      <c r="U59" s="40"/>
      <c r="V59" s="40">
        <v>642454</v>
      </c>
      <c r="W59" s="236"/>
      <c r="X59" s="40"/>
      <c r="Y59" s="40">
        <v>642454</v>
      </c>
      <c r="Z59" s="42"/>
      <c r="AA59" s="40"/>
      <c r="AB59" s="40"/>
      <c r="AC59" s="40">
        <v>160800</v>
      </c>
      <c r="AD59" s="42"/>
      <c r="AF59">
        <f>VLOOKUP(A59,Devengos!$A$4:$I$389,9,0)</f>
        <v>22761765</v>
      </c>
      <c r="AG59">
        <f t="shared" si="14"/>
        <v>15933236</v>
      </c>
      <c r="AH59">
        <f>IFERROR(VLOOKUP(B59,'Planilla Mes anterior'!$CX:$CY,2,0),0)</f>
        <v>17854885</v>
      </c>
      <c r="AJ59" s="95">
        <v>0</v>
      </c>
      <c r="AK59" t="s">
        <v>4315</v>
      </c>
    </row>
    <row r="60" spans="1:37" x14ac:dyDescent="0.3">
      <c r="A60" s="81">
        <v>20109421</v>
      </c>
      <c r="B60" s="5">
        <v>71762344</v>
      </c>
      <c r="C60" s="36" t="s">
        <v>1101</v>
      </c>
      <c r="D60" s="36" t="s">
        <v>3344</v>
      </c>
      <c r="E60" s="39">
        <v>30</v>
      </c>
      <c r="F60" s="37">
        <v>0</v>
      </c>
      <c r="G60" s="37">
        <v>0</v>
      </c>
      <c r="H60" s="38">
        <v>22761765</v>
      </c>
      <c r="I60" s="39">
        <v>15933235</v>
      </c>
      <c r="J60" s="38">
        <v>859700</v>
      </c>
      <c r="K60" s="39">
        <v>23621465</v>
      </c>
      <c r="L60" s="39">
        <v>9448586</v>
      </c>
      <c r="M60" s="39"/>
      <c r="N60" s="39"/>
      <c r="O60" s="39"/>
      <c r="P60" s="38">
        <v>15933236</v>
      </c>
      <c r="Q60" s="39">
        <v>0</v>
      </c>
      <c r="R60" s="39">
        <v>0</v>
      </c>
      <c r="S60" s="40"/>
      <c r="T60" s="38"/>
      <c r="U60" s="40"/>
      <c r="V60" s="40">
        <v>637329</v>
      </c>
      <c r="W60" s="42"/>
      <c r="X60" s="40"/>
      <c r="Y60" s="40">
        <v>637329</v>
      </c>
      <c r="Z60" s="42"/>
      <c r="AA60" s="40"/>
      <c r="AB60" s="40"/>
      <c r="AC60" s="40">
        <v>159400</v>
      </c>
      <c r="AD60" s="42"/>
      <c r="AF60">
        <f>VLOOKUP(A60,Devengos!$A$4:$I$389,9,0)</f>
        <v>22761765</v>
      </c>
      <c r="AG60">
        <f t="shared" si="14"/>
        <v>15933236</v>
      </c>
      <c r="AH60">
        <f>IFERROR(VLOOKUP(B60,'Planilla Mes anterior'!$CX:$CY,2,0),0)</f>
        <v>15933236</v>
      </c>
      <c r="AJ60" s="95">
        <v>0</v>
      </c>
    </row>
    <row r="61" spans="1:37" x14ac:dyDescent="0.3">
      <c r="A61" s="81">
        <v>20109450</v>
      </c>
      <c r="B61" s="5">
        <v>79643778</v>
      </c>
      <c r="C61" s="36" t="s">
        <v>1107</v>
      </c>
      <c r="D61" s="36" t="s">
        <v>3456</v>
      </c>
      <c r="E61" s="39">
        <v>30</v>
      </c>
      <c r="F61" s="37">
        <v>1</v>
      </c>
      <c r="G61" s="37">
        <v>0</v>
      </c>
      <c r="H61" s="38">
        <v>5703329</v>
      </c>
      <c r="I61" s="39">
        <v>5703329</v>
      </c>
      <c r="J61" s="38">
        <v>700300</v>
      </c>
      <c r="K61" s="39">
        <v>6403629</v>
      </c>
      <c r="L61" s="39">
        <v>2561452</v>
      </c>
      <c r="M61" s="39"/>
      <c r="N61" s="39"/>
      <c r="O61" s="39"/>
      <c r="P61" s="38">
        <v>4177153</v>
      </c>
      <c r="Q61" s="39">
        <v>139238</v>
      </c>
      <c r="R61" s="39">
        <v>0</v>
      </c>
      <c r="S61" s="40"/>
      <c r="T61" s="38">
        <v>0</v>
      </c>
      <c r="U61" s="40"/>
      <c r="V61" s="40">
        <v>233703</v>
      </c>
      <c r="W61" s="42"/>
      <c r="X61" s="40"/>
      <c r="Y61" s="40">
        <v>233703</v>
      </c>
      <c r="Z61" s="42"/>
      <c r="AA61" s="40"/>
      <c r="AB61" s="40"/>
      <c r="AC61" s="40">
        <v>0</v>
      </c>
      <c r="AD61" s="42"/>
      <c r="AF61">
        <f>VLOOKUP(A61,Devengos!$A$4:$I$389,9,0)</f>
        <v>4351084</v>
      </c>
      <c r="AG61">
        <f t="shared" si="14"/>
        <v>4351084</v>
      </c>
      <c r="AH61">
        <f>IFERROR(VLOOKUP(B61,'Planilla Mes anterior'!$CX:$CY,2,0),0)</f>
        <v>4177153</v>
      </c>
      <c r="AJ61" s="95">
        <v>0</v>
      </c>
    </row>
    <row r="62" spans="1:37" x14ac:dyDescent="0.3">
      <c r="A62" s="81">
        <v>20109676</v>
      </c>
      <c r="B62" s="5">
        <v>1017164615.0000001</v>
      </c>
      <c r="C62" s="36" t="s">
        <v>1113</v>
      </c>
      <c r="D62" s="36" t="s">
        <v>3344</v>
      </c>
      <c r="E62" s="39">
        <v>30</v>
      </c>
      <c r="F62" s="37">
        <v>0</v>
      </c>
      <c r="G62" s="37">
        <v>0</v>
      </c>
      <c r="H62" s="38">
        <v>22761765</v>
      </c>
      <c r="I62" s="39">
        <v>15933235</v>
      </c>
      <c r="J62" s="38">
        <v>1003066</v>
      </c>
      <c r="K62" s="39">
        <v>23764831</v>
      </c>
      <c r="L62" s="39">
        <v>9505932</v>
      </c>
      <c r="M62" s="39"/>
      <c r="N62" s="39"/>
      <c r="O62" s="39"/>
      <c r="P62" s="38">
        <v>15933236</v>
      </c>
      <c r="Q62" s="39">
        <v>0</v>
      </c>
      <c r="R62" s="39">
        <v>0</v>
      </c>
      <c r="S62" s="40"/>
      <c r="T62" s="38"/>
      <c r="U62" s="40"/>
      <c r="V62" s="40">
        <v>637329</v>
      </c>
      <c r="W62" s="42"/>
      <c r="X62" s="40"/>
      <c r="Y62" s="40">
        <v>637329</v>
      </c>
      <c r="Z62" s="42"/>
      <c r="AA62" s="40"/>
      <c r="AB62" s="40"/>
      <c r="AC62" s="40">
        <v>159400</v>
      </c>
      <c r="AD62" s="42"/>
      <c r="AF62">
        <f>VLOOKUP(A62,Devengos!$A$4:$I$389,9,0)</f>
        <v>22761765</v>
      </c>
      <c r="AG62">
        <f t="shared" si="14"/>
        <v>15933236</v>
      </c>
      <c r="AH62">
        <f>IFERROR(VLOOKUP(B62,'Planilla Mes anterior'!$CX:$CY,2,0),0)</f>
        <v>15933236</v>
      </c>
      <c r="AJ62" s="95">
        <v>0</v>
      </c>
    </row>
    <row r="63" spans="1:37" x14ac:dyDescent="0.3">
      <c r="A63" s="81">
        <v>20109708</v>
      </c>
      <c r="B63" s="5">
        <v>8031259</v>
      </c>
      <c r="C63" s="36" t="s">
        <v>1119</v>
      </c>
      <c r="D63" s="36" t="s">
        <v>3344</v>
      </c>
      <c r="E63" s="39">
        <v>30</v>
      </c>
      <c r="F63" s="37">
        <v>0</v>
      </c>
      <c r="G63" s="37">
        <v>0</v>
      </c>
      <c r="H63" s="38">
        <v>26758523</v>
      </c>
      <c r="I63" s="39">
        <v>18730966</v>
      </c>
      <c r="J63" s="38">
        <v>887700</v>
      </c>
      <c r="K63" s="39">
        <v>27646223</v>
      </c>
      <c r="L63" s="39">
        <v>11058489</v>
      </c>
      <c r="M63" s="39"/>
      <c r="N63" s="39"/>
      <c r="O63" s="39"/>
      <c r="P63" s="38">
        <v>18730967</v>
      </c>
      <c r="Q63" s="39">
        <v>0</v>
      </c>
      <c r="R63" s="39">
        <v>0</v>
      </c>
      <c r="S63" s="40"/>
      <c r="T63" s="38"/>
      <c r="U63" s="40"/>
      <c r="V63" s="40">
        <v>749239</v>
      </c>
      <c r="W63" s="42"/>
      <c r="X63" s="40"/>
      <c r="Y63" s="40">
        <v>749239</v>
      </c>
      <c r="Z63" s="42"/>
      <c r="AA63" s="40"/>
      <c r="AB63" s="40"/>
      <c r="AC63" s="40">
        <v>187400</v>
      </c>
      <c r="AD63" s="42"/>
      <c r="AF63">
        <f>VLOOKUP(A63,Devengos!$A$4:$I$389,9,0)</f>
        <v>26758523</v>
      </c>
      <c r="AG63">
        <f t="shared" si="14"/>
        <v>18730966</v>
      </c>
      <c r="AH63">
        <f>IFERROR(VLOOKUP(B63,'Planilla Mes anterior'!$CX:$CY,2,0),0)</f>
        <v>18730967</v>
      </c>
      <c r="AJ63" s="95">
        <v>0</v>
      </c>
    </row>
    <row r="64" spans="1:37" x14ac:dyDescent="0.3">
      <c r="A64" s="81">
        <v>20109859</v>
      </c>
      <c r="B64" s="5">
        <v>15372073</v>
      </c>
      <c r="C64" s="36" t="s">
        <v>1124</v>
      </c>
      <c r="D64" s="36" t="s">
        <v>3344</v>
      </c>
      <c r="E64" s="39">
        <v>30</v>
      </c>
      <c r="F64" s="37">
        <v>0</v>
      </c>
      <c r="G64" s="37">
        <v>0</v>
      </c>
      <c r="H64" s="38">
        <v>22761765</v>
      </c>
      <c r="I64" s="39">
        <v>15933235</v>
      </c>
      <c r="J64" s="38">
        <v>859700</v>
      </c>
      <c r="K64" s="39">
        <v>23621465</v>
      </c>
      <c r="L64" s="39">
        <v>9448586</v>
      </c>
      <c r="M64" s="39"/>
      <c r="N64" s="39"/>
      <c r="O64" s="39"/>
      <c r="P64" s="38">
        <v>15933236</v>
      </c>
      <c r="Q64" s="39">
        <v>0</v>
      </c>
      <c r="R64" s="39">
        <v>0</v>
      </c>
      <c r="S64" s="40"/>
      <c r="T64" s="38"/>
      <c r="U64" s="40"/>
      <c r="V64" s="40">
        <v>637329</v>
      </c>
      <c r="W64" s="42"/>
      <c r="X64" s="40"/>
      <c r="Y64" s="40">
        <v>637329</v>
      </c>
      <c r="Z64" s="42"/>
      <c r="AA64" s="40"/>
      <c r="AB64" s="40"/>
      <c r="AC64" s="40">
        <v>159400</v>
      </c>
      <c r="AD64" s="42"/>
      <c r="AF64">
        <f>VLOOKUP(A64,Devengos!$A$4:$I$389,9,0)</f>
        <v>22761765</v>
      </c>
      <c r="AG64">
        <f t="shared" si="14"/>
        <v>15933236</v>
      </c>
      <c r="AH64">
        <f>IFERROR(VLOOKUP(B64,'Planilla Mes anterior'!$CX:$CY,2,0),0)</f>
        <v>15933236</v>
      </c>
      <c r="AJ64" s="95">
        <v>0</v>
      </c>
    </row>
    <row r="65" spans="1:36" x14ac:dyDescent="0.3">
      <c r="A65" s="81">
        <v>20110044</v>
      </c>
      <c r="B65" s="5">
        <v>1036948799.0000001</v>
      </c>
      <c r="C65" s="36" t="s">
        <v>3374</v>
      </c>
      <c r="D65" s="36" t="s">
        <v>3344</v>
      </c>
      <c r="E65" s="39">
        <v>30</v>
      </c>
      <c r="F65" s="37">
        <v>0</v>
      </c>
      <c r="G65" s="37">
        <v>0</v>
      </c>
      <c r="H65" s="38">
        <v>22761765</v>
      </c>
      <c r="I65" s="39">
        <v>15933235</v>
      </c>
      <c r="J65" s="38">
        <v>859700</v>
      </c>
      <c r="K65" s="39">
        <v>23621465</v>
      </c>
      <c r="L65" s="39">
        <v>9448586</v>
      </c>
      <c r="M65" s="39"/>
      <c r="N65" s="39"/>
      <c r="O65" s="39"/>
      <c r="P65" s="38">
        <v>15933236</v>
      </c>
      <c r="Q65" s="39">
        <v>0</v>
      </c>
      <c r="R65" s="39">
        <v>0</v>
      </c>
      <c r="S65" s="40"/>
      <c r="T65" s="38"/>
      <c r="U65" s="40"/>
      <c r="V65" s="40">
        <v>637329</v>
      </c>
      <c r="W65" s="42"/>
      <c r="X65" s="40"/>
      <c r="Y65" s="40">
        <v>637329</v>
      </c>
      <c r="Z65" s="42"/>
      <c r="AA65" s="40"/>
      <c r="AB65" s="40"/>
      <c r="AC65" s="40">
        <v>159400</v>
      </c>
      <c r="AD65" s="42"/>
      <c r="AF65">
        <f>VLOOKUP(A65,Devengos!$A$4:$I$389,9,0)</f>
        <v>22761765</v>
      </c>
      <c r="AG65">
        <f t="shared" si="14"/>
        <v>15933236</v>
      </c>
      <c r="AH65">
        <f>IFERROR(VLOOKUP(B65,'Planilla Mes anterior'!$CX:$CY,2,0),0)</f>
        <v>15933236</v>
      </c>
      <c r="AJ65" s="95">
        <v>0</v>
      </c>
    </row>
    <row r="66" spans="1:36" x14ac:dyDescent="0.3">
      <c r="A66" s="81">
        <v>20110072</v>
      </c>
      <c r="B66" s="5">
        <v>1039458034</v>
      </c>
      <c r="C66" s="36" t="s">
        <v>1133</v>
      </c>
      <c r="D66" s="36" t="s">
        <v>3456</v>
      </c>
      <c r="E66" s="39">
        <v>30</v>
      </c>
      <c r="F66" s="37">
        <v>1</v>
      </c>
      <c r="G66" s="37">
        <v>0</v>
      </c>
      <c r="H66" s="38">
        <v>12808333</v>
      </c>
      <c r="I66" s="39">
        <v>12808333</v>
      </c>
      <c r="J66" s="38">
        <v>833100</v>
      </c>
      <c r="K66" s="39">
        <v>13641433</v>
      </c>
      <c r="L66" s="39">
        <v>5456573</v>
      </c>
      <c r="M66" s="39"/>
      <c r="N66" s="39"/>
      <c r="O66" s="39"/>
      <c r="P66" s="38">
        <v>13250000</v>
      </c>
      <c r="Q66" s="39">
        <v>441667</v>
      </c>
      <c r="R66" s="39">
        <v>0</v>
      </c>
      <c r="S66" s="40"/>
      <c r="T66" s="38">
        <v>0</v>
      </c>
      <c r="U66" s="40"/>
      <c r="V66" s="40">
        <v>530000</v>
      </c>
      <c r="W66" s="42"/>
      <c r="X66" s="40"/>
      <c r="Y66" s="40">
        <v>530000</v>
      </c>
      <c r="Z66" s="42"/>
      <c r="AA66" s="40"/>
      <c r="AB66" s="40"/>
      <c r="AC66" s="40">
        <v>132800</v>
      </c>
      <c r="AD66" s="42"/>
      <c r="AF66">
        <f>VLOOKUP(A66,Devengos!$A$4:$I$389,9,0)</f>
        <v>13250000</v>
      </c>
      <c r="AG66">
        <f t="shared" si="14"/>
        <v>13250000</v>
      </c>
      <c r="AH66">
        <f>IFERROR(VLOOKUP(B66,'Planilla Mes anterior'!$CX:$CY,2,0),0)</f>
        <v>13250000</v>
      </c>
      <c r="AJ66" s="95">
        <v>0</v>
      </c>
    </row>
    <row r="67" spans="1:36" x14ac:dyDescent="0.3">
      <c r="A67" s="81">
        <v>20110129</v>
      </c>
      <c r="B67" s="5">
        <v>98716603</v>
      </c>
      <c r="C67" s="36" t="s">
        <v>1139</v>
      </c>
      <c r="D67" s="36" t="s">
        <v>3344</v>
      </c>
      <c r="E67" s="39">
        <v>30</v>
      </c>
      <c r="F67" s="37">
        <v>0</v>
      </c>
      <c r="G67" s="37">
        <v>0</v>
      </c>
      <c r="H67" s="38">
        <v>23146404</v>
      </c>
      <c r="I67" s="39">
        <v>16202483</v>
      </c>
      <c r="J67" s="38">
        <v>862500</v>
      </c>
      <c r="K67" s="39">
        <v>24008904</v>
      </c>
      <c r="L67" s="39">
        <v>9603562</v>
      </c>
      <c r="M67" s="39"/>
      <c r="N67" s="39"/>
      <c r="O67" s="39"/>
      <c r="P67" s="38">
        <v>16202483</v>
      </c>
      <c r="Q67" s="39">
        <v>0</v>
      </c>
      <c r="R67" s="39">
        <v>0</v>
      </c>
      <c r="S67" s="40"/>
      <c r="T67" s="38"/>
      <c r="U67" s="40"/>
      <c r="V67" s="40">
        <v>648099</v>
      </c>
      <c r="W67" s="42"/>
      <c r="X67" s="40"/>
      <c r="Y67" s="40">
        <v>648099</v>
      </c>
      <c r="Z67" s="42"/>
      <c r="AA67" s="40"/>
      <c r="AB67" s="40"/>
      <c r="AC67" s="40">
        <v>162200</v>
      </c>
      <c r="AD67" s="42"/>
      <c r="AF67">
        <f>VLOOKUP(A67,Devengos!$A$4:$I$389,9,0)</f>
        <v>23146404</v>
      </c>
      <c r="AG67">
        <f t="shared" si="14"/>
        <v>16202483</v>
      </c>
      <c r="AH67">
        <f>IFERROR(VLOOKUP(B67,'Planilla Mes anterior'!$CX:$CY,2,0),0)</f>
        <v>16202483</v>
      </c>
      <c r="AJ67" s="95">
        <v>0</v>
      </c>
    </row>
    <row r="68" spans="1:36" x14ac:dyDescent="0.3">
      <c r="A68" s="81">
        <v>20110275</v>
      </c>
      <c r="B68" s="5">
        <v>8356257</v>
      </c>
      <c r="C68" s="36" t="s">
        <v>1144</v>
      </c>
      <c r="D68" s="36" t="s">
        <v>3344</v>
      </c>
      <c r="E68" s="39">
        <v>30</v>
      </c>
      <c r="F68" s="37">
        <v>0</v>
      </c>
      <c r="G68" s="37">
        <v>0</v>
      </c>
      <c r="H68" s="38">
        <v>26755114</v>
      </c>
      <c r="I68" s="39">
        <v>18728580</v>
      </c>
      <c r="J68" s="38">
        <v>887700</v>
      </c>
      <c r="K68" s="39">
        <v>27642814</v>
      </c>
      <c r="L68" s="39">
        <v>11057126</v>
      </c>
      <c r="M68" s="39"/>
      <c r="N68" s="39"/>
      <c r="O68" s="39"/>
      <c r="P68" s="38">
        <v>19779906</v>
      </c>
      <c r="Q68" s="39">
        <v>0</v>
      </c>
      <c r="R68" s="39">
        <v>0</v>
      </c>
      <c r="S68" s="40"/>
      <c r="T68" s="38"/>
      <c r="U68" s="40"/>
      <c r="V68" s="40">
        <v>749143</v>
      </c>
      <c r="W68" s="42"/>
      <c r="X68" s="40"/>
      <c r="Y68" s="40">
        <v>749143</v>
      </c>
      <c r="Z68" s="42"/>
      <c r="AA68" s="40"/>
      <c r="AB68" s="40"/>
      <c r="AC68" s="40">
        <v>187400</v>
      </c>
      <c r="AD68" s="42"/>
      <c r="AF68">
        <f>VLOOKUP(A68,Devengos!$A$4:$I$389,9,0)</f>
        <v>26755114</v>
      </c>
      <c r="AG68">
        <f t="shared" ref="AG68:AG131" si="94">IF(D68="Integral",ROUND(AF68*70%,0),AF68)</f>
        <v>18728580</v>
      </c>
      <c r="AH68">
        <f>IFERROR(VLOOKUP(B68,'Planilla Mes anterior'!$CX:$CY,2,0),0)</f>
        <v>19779906</v>
      </c>
      <c r="AJ68" s="95">
        <v>0</v>
      </c>
    </row>
    <row r="69" spans="1:36" x14ac:dyDescent="0.3">
      <c r="A69" s="81">
        <v>20110381</v>
      </c>
      <c r="B69" s="5">
        <v>1017214574</v>
      </c>
      <c r="C69" s="36" t="s">
        <v>1149</v>
      </c>
      <c r="D69" s="36" t="s">
        <v>3456</v>
      </c>
      <c r="E69" s="39">
        <v>30</v>
      </c>
      <c r="F69" s="37">
        <v>3</v>
      </c>
      <c r="G69" s="37">
        <v>0</v>
      </c>
      <c r="H69" s="38">
        <v>10856306</v>
      </c>
      <c r="I69" s="39">
        <v>10856306</v>
      </c>
      <c r="J69" s="38">
        <v>821500</v>
      </c>
      <c r="K69" s="39">
        <v>11677806</v>
      </c>
      <c r="L69" s="39">
        <v>4671122</v>
      </c>
      <c r="M69" s="39"/>
      <c r="N69" s="39"/>
      <c r="O69" s="39"/>
      <c r="P69" s="38">
        <v>12513075</v>
      </c>
      <c r="Q69" s="39">
        <v>1251308</v>
      </c>
      <c r="R69" s="39">
        <v>0</v>
      </c>
      <c r="S69" s="40"/>
      <c r="T69" s="38">
        <v>0</v>
      </c>
      <c r="U69" s="40"/>
      <c r="V69" s="40">
        <v>484304</v>
      </c>
      <c r="W69" s="42"/>
      <c r="X69" s="40"/>
      <c r="Y69" s="40">
        <v>484304</v>
      </c>
      <c r="Z69" s="42"/>
      <c r="AA69" s="40"/>
      <c r="AB69" s="40"/>
      <c r="AC69" s="40">
        <v>121200</v>
      </c>
      <c r="AD69" s="42"/>
      <c r="AF69">
        <f>VLOOKUP(A69,Devengos!$A$4:$I$389,9,0)</f>
        <v>12062562</v>
      </c>
      <c r="AG69">
        <f t="shared" si="94"/>
        <v>12062562</v>
      </c>
      <c r="AH69">
        <f>IFERROR(VLOOKUP(B69,'Planilla Mes anterior'!$CX:$CY,2,0),0)</f>
        <v>12513075</v>
      </c>
      <c r="AJ69" s="95">
        <v>0</v>
      </c>
    </row>
    <row r="70" spans="1:36" x14ac:dyDescent="0.3">
      <c r="A70" s="81">
        <v>20110390</v>
      </c>
      <c r="B70" s="5">
        <v>43921183</v>
      </c>
      <c r="C70" s="36" t="s">
        <v>1155</v>
      </c>
      <c r="D70" s="36" t="s">
        <v>3344</v>
      </c>
      <c r="E70" s="39">
        <v>35</v>
      </c>
      <c r="F70" s="37">
        <v>1</v>
      </c>
      <c r="G70" s="37">
        <v>3</v>
      </c>
      <c r="H70" s="38">
        <v>22003898</v>
      </c>
      <c r="I70" s="39">
        <v>15402729</v>
      </c>
      <c r="J70" s="38">
        <v>859900</v>
      </c>
      <c r="K70" s="39">
        <v>22863798</v>
      </c>
      <c r="L70" s="39">
        <v>9145519</v>
      </c>
      <c r="M70" s="39"/>
      <c r="N70" s="39"/>
      <c r="O70" s="39"/>
      <c r="P70" s="38">
        <v>15938385</v>
      </c>
      <c r="Q70" s="39">
        <v>531280</v>
      </c>
      <c r="R70" s="39">
        <v>0</v>
      </c>
      <c r="S70" s="40"/>
      <c r="T70" s="38"/>
      <c r="U70" s="40"/>
      <c r="V70" s="40">
        <v>637371</v>
      </c>
      <c r="W70" s="42"/>
      <c r="X70" s="40"/>
      <c r="Y70" s="40">
        <v>637371</v>
      </c>
      <c r="Z70" s="42"/>
      <c r="AA70" s="40"/>
      <c r="AB70" s="40"/>
      <c r="AC70" s="40">
        <v>159600</v>
      </c>
      <c r="AD70" s="42"/>
      <c r="AF70">
        <f>VLOOKUP(A70,Devengos!$A$4:$I$389,9,0)</f>
        <v>22761765</v>
      </c>
      <c r="AG70">
        <f t="shared" si="94"/>
        <v>15933236</v>
      </c>
      <c r="AH70">
        <f>IFERROR(VLOOKUP(B70,'Planilla Mes anterior'!$CX:$CY,2,0),0)</f>
        <v>15938385</v>
      </c>
      <c r="AJ70" s="95">
        <v>0</v>
      </c>
    </row>
    <row r="71" spans="1:36" x14ac:dyDescent="0.3">
      <c r="A71" s="81">
        <v>20110606</v>
      </c>
      <c r="B71" s="5">
        <v>1152440465</v>
      </c>
      <c r="C71" s="36" t="s">
        <v>1163</v>
      </c>
      <c r="D71" s="36" t="s">
        <v>3456</v>
      </c>
      <c r="E71" s="39">
        <v>30</v>
      </c>
      <c r="F71" s="37">
        <v>0</v>
      </c>
      <c r="G71" s="37">
        <v>0</v>
      </c>
      <c r="H71" s="38">
        <v>13477877</v>
      </c>
      <c r="I71" s="39">
        <v>13477877</v>
      </c>
      <c r="J71" s="38">
        <v>835100</v>
      </c>
      <c r="K71" s="39">
        <v>14312977</v>
      </c>
      <c r="L71" s="39">
        <v>5725191</v>
      </c>
      <c r="M71" s="39"/>
      <c r="N71" s="39"/>
      <c r="O71" s="39"/>
      <c r="P71" s="38">
        <v>13477877</v>
      </c>
      <c r="Q71" s="39">
        <v>0</v>
      </c>
      <c r="R71" s="39">
        <v>0</v>
      </c>
      <c r="S71" s="40"/>
      <c r="T71" s="38">
        <v>0</v>
      </c>
      <c r="U71" s="40"/>
      <c r="V71" s="40">
        <v>539115</v>
      </c>
      <c r="W71" s="42"/>
      <c r="X71" s="40"/>
      <c r="Y71" s="40">
        <v>539115</v>
      </c>
      <c r="Z71" s="42"/>
      <c r="AA71" s="40"/>
      <c r="AB71" s="40"/>
      <c r="AC71" s="40">
        <v>134800</v>
      </c>
      <c r="AD71" s="42"/>
      <c r="AF71">
        <f>VLOOKUP(A71,Devengos!$A$4:$I$389,9,0)</f>
        <v>13477877</v>
      </c>
      <c r="AG71">
        <f t="shared" si="94"/>
        <v>13477877</v>
      </c>
      <c r="AH71">
        <f>IFERROR(VLOOKUP(B71,'Planilla Mes anterior'!$CX:$CY,2,0),0)</f>
        <v>13477877</v>
      </c>
      <c r="AJ71" s="95">
        <v>0</v>
      </c>
    </row>
    <row r="72" spans="1:36" x14ac:dyDescent="0.3">
      <c r="A72" s="81">
        <v>20110625</v>
      </c>
      <c r="B72" s="5">
        <v>1152456985</v>
      </c>
      <c r="C72" s="36" t="s">
        <v>1170</v>
      </c>
      <c r="D72" s="36" t="s">
        <v>3456</v>
      </c>
      <c r="E72" s="39">
        <v>30</v>
      </c>
      <c r="F72" s="37">
        <v>0</v>
      </c>
      <c r="G72" s="37">
        <v>0</v>
      </c>
      <c r="H72" s="38">
        <v>10590228</v>
      </c>
      <c r="I72" s="39">
        <v>10590228</v>
      </c>
      <c r="J72" s="38">
        <v>806300</v>
      </c>
      <c r="K72" s="39">
        <v>11396528</v>
      </c>
      <c r="L72" s="39">
        <v>4558611</v>
      </c>
      <c r="M72" s="39"/>
      <c r="N72" s="39"/>
      <c r="O72" s="39"/>
      <c r="P72" s="38">
        <v>10590228</v>
      </c>
      <c r="Q72" s="39">
        <v>0</v>
      </c>
      <c r="R72" s="39">
        <v>0</v>
      </c>
      <c r="S72" s="40"/>
      <c r="T72" s="38">
        <v>0</v>
      </c>
      <c r="U72" s="40"/>
      <c r="V72" s="40">
        <v>423609</v>
      </c>
      <c r="W72" s="42"/>
      <c r="X72" s="40"/>
      <c r="Y72" s="40">
        <v>423609</v>
      </c>
      <c r="Z72" s="42"/>
      <c r="AA72" s="40"/>
      <c r="AB72" s="40"/>
      <c r="AC72" s="40">
        <v>106000</v>
      </c>
      <c r="AD72" s="42"/>
      <c r="AF72">
        <f>VLOOKUP(A72,Devengos!$A$4:$I$389,9,0)</f>
        <v>10590228</v>
      </c>
      <c r="AG72">
        <f t="shared" si="94"/>
        <v>10590228</v>
      </c>
      <c r="AH72">
        <f>IFERROR(VLOOKUP(B72,'Planilla Mes anterior'!$CX:$CY,2,0),0)</f>
        <v>10590228</v>
      </c>
      <c r="AJ72" s="95">
        <v>0</v>
      </c>
    </row>
    <row r="73" spans="1:36" x14ac:dyDescent="0.3">
      <c r="A73" s="81">
        <v>20110627</v>
      </c>
      <c r="B73" s="5">
        <v>1152438320</v>
      </c>
      <c r="C73" s="36" t="s">
        <v>1177</v>
      </c>
      <c r="D73" s="36" t="s">
        <v>3344</v>
      </c>
      <c r="E73" s="39">
        <v>30</v>
      </c>
      <c r="F73" s="37">
        <v>0</v>
      </c>
      <c r="G73" s="37">
        <v>0</v>
      </c>
      <c r="H73" s="38">
        <v>22761765</v>
      </c>
      <c r="I73" s="39">
        <v>15933235</v>
      </c>
      <c r="J73" s="38">
        <v>1462788</v>
      </c>
      <c r="K73" s="39">
        <v>24224553</v>
      </c>
      <c r="L73" s="39">
        <v>9689821</v>
      </c>
      <c r="M73" s="39"/>
      <c r="N73" s="39"/>
      <c r="O73" s="39"/>
      <c r="P73" s="38">
        <v>15933236</v>
      </c>
      <c r="Q73" s="39">
        <v>0</v>
      </c>
      <c r="R73" s="39">
        <v>0</v>
      </c>
      <c r="S73" s="40"/>
      <c r="T73" s="38"/>
      <c r="U73" s="40"/>
      <c r="V73" s="40">
        <v>637329</v>
      </c>
      <c r="W73" s="42"/>
      <c r="X73" s="40"/>
      <c r="Y73" s="40">
        <v>637329</v>
      </c>
      <c r="Z73" s="42"/>
      <c r="AA73" s="40"/>
      <c r="AB73" s="40"/>
      <c r="AC73" s="40">
        <v>159400</v>
      </c>
      <c r="AD73" s="42"/>
      <c r="AF73">
        <f>VLOOKUP(A73,Devengos!$A$4:$I$389,9,0)</f>
        <v>22761765</v>
      </c>
      <c r="AG73">
        <f t="shared" si="94"/>
        <v>15933236</v>
      </c>
      <c r="AH73">
        <f>IFERROR(VLOOKUP(B73,'Planilla Mes anterior'!$CX:$CY,2,0),0)</f>
        <v>15933236</v>
      </c>
      <c r="AJ73" s="95">
        <v>0</v>
      </c>
    </row>
    <row r="74" spans="1:36" x14ac:dyDescent="0.3">
      <c r="A74" s="81">
        <v>20110681</v>
      </c>
      <c r="B74" s="5">
        <v>9731158</v>
      </c>
      <c r="C74" s="36" t="s">
        <v>1184</v>
      </c>
      <c r="D74" s="36" t="s">
        <v>3344</v>
      </c>
      <c r="E74" s="39">
        <v>30</v>
      </c>
      <c r="F74" s="37">
        <v>0</v>
      </c>
      <c r="G74" s="37">
        <v>0</v>
      </c>
      <c r="H74" s="38">
        <v>22761765</v>
      </c>
      <c r="I74" s="39">
        <v>15933235</v>
      </c>
      <c r="J74" s="38">
        <v>859700</v>
      </c>
      <c r="K74" s="39">
        <v>23621465</v>
      </c>
      <c r="L74" s="39">
        <v>9448586</v>
      </c>
      <c r="M74" s="39"/>
      <c r="N74" s="39"/>
      <c r="O74" s="39"/>
      <c r="P74" s="38">
        <v>15933236</v>
      </c>
      <c r="Q74" s="39">
        <v>0</v>
      </c>
      <c r="R74" s="39">
        <v>0</v>
      </c>
      <c r="S74" s="40"/>
      <c r="T74" s="38"/>
      <c r="U74" s="40"/>
      <c r="V74" s="40">
        <v>637329</v>
      </c>
      <c r="W74" s="42"/>
      <c r="X74" s="40"/>
      <c r="Y74" s="40">
        <v>637329</v>
      </c>
      <c r="Z74" s="42"/>
      <c r="AA74" s="40"/>
      <c r="AB74" s="40"/>
      <c r="AC74" s="40">
        <v>159400</v>
      </c>
      <c r="AD74" s="42"/>
      <c r="AF74">
        <f>VLOOKUP(A74,Devengos!$A$4:$I$389,9,0)</f>
        <v>22761765</v>
      </c>
      <c r="AG74">
        <f t="shared" si="94"/>
        <v>15933236</v>
      </c>
      <c r="AH74">
        <f>IFERROR(VLOOKUP(B74,'Planilla Mes anterior'!$CX:$CY,2,0),0)</f>
        <v>15933236</v>
      </c>
      <c r="AJ74" s="95">
        <v>0</v>
      </c>
    </row>
    <row r="75" spans="1:36" x14ac:dyDescent="0.3">
      <c r="A75" s="81">
        <v>20110772</v>
      </c>
      <c r="B75" s="5">
        <v>1144150245</v>
      </c>
      <c r="C75" s="36" t="s">
        <v>1189</v>
      </c>
      <c r="D75" s="36" t="s">
        <v>3456</v>
      </c>
      <c r="E75" s="39">
        <v>35</v>
      </c>
      <c r="F75" s="37">
        <v>2</v>
      </c>
      <c r="G75" s="37">
        <v>0</v>
      </c>
      <c r="H75" s="38">
        <v>14067806</v>
      </c>
      <c r="I75" s="39">
        <v>14067806</v>
      </c>
      <c r="J75" s="38">
        <v>851100</v>
      </c>
      <c r="K75" s="39">
        <v>14918906</v>
      </c>
      <c r="L75" s="39">
        <v>5967562</v>
      </c>
      <c r="M75" s="39"/>
      <c r="N75" s="39"/>
      <c r="O75" s="39"/>
      <c r="P75" s="38">
        <v>14725350</v>
      </c>
      <c r="Q75" s="39">
        <v>981690</v>
      </c>
      <c r="R75" s="39">
        <v>0</v>
      </c>
      <c r="S75" s="40"/>
      <c r="T75" s="38">
        <v>0</v>
      </c>
      <c r="U75" s="40"/>
      <c r="V75" s="40">
        <v>601980</v>
      </c>
      <c r="W75" s="42"/>
      <c r="X75" s="40"/>
      <c r="Y75" s="40">
        <v>601980</v>
      </c>
      <c r="Z75" s="42"/>
      <c r="AA75" s="40"/>
      <c r="AB75" s="40"/>
      <c r="AC75" s="40">
        <v>150800</v>
      </c>
      <c r="AD75" s="42"/>
      <c r="AF75">
        <f>VLOOKUP(A75,Devengos!$A$4:$I$389,9,0)</f>
        <v>14485350</v>
      </c>
      <c r="AG75">
        <f t="shared" si="94"/>
        <v>14485350</v>
      </c>
      <c r="AH75">
        <f>IFERROR(VLOOKUP(B75,'Planilla Mes anterior'!$CX:$CY,2,0),0)</f>
        <v>14725350</v>
      </c>
      <c r="AJ75" s="95">
        <v>0</v>
      </c>
    </row>
    <row r="76" spans="1:36" x14ac:dyDescent="0.3">
      <c r="A76" s="81">
        <v>20111034</v>
      </c>
      <c r="B76" s="5">
        <v>498932</v>
      </c>
      <c r="C76" s="36" t="s">
        <v>3314</v>
      </c>
      <c r="D76" s="36" t="s">
        <v>3344</v>
      </c>
      <c r="E76" s="39">
        <v>30</v>
      </c>
      <c r="F76" s="37">
        <v>0</v>
      </c>
      <c r="G76" s="37">
        <v>0</v>
      </c>
      <c r="H76" s="38">
        <v>22761765</v>
      </c>
      <c r="I76" s="39">
        <v>15933235</v>
      </c>
      <c r="J76" s="38">
        <v>859700</v>
      </c>
      <c r="K76" s="39">
        <v>23621465</v>
      </c>
      <c r="L76" s="39">
        <v>9448586</v>
      </c>
      <c r="M76" s="39"/>
      <c r="N76" s="39"/>
      <c r="O76" s="39"/>
      <c r="P76" s="38">
        <v>22761765.714</v>
      </c>
      <c r="Q76" s="39">
        <v>0</v>
      </c>
      <c r="R76" s="39">
        <v>0</v>
      </c>
      <c r="S76" s="40"/>
      <c r="T76" s="38"/>
      <c r="U76" s="40"/>
      <c r="V76" s="40">
        <v>637329</v>
      </c>
      <c r="W76" s="42"/>
      <c r="X76" s="40"/>
      <c r="Y76" s="40">
        <v>637329</v>
      </c>
      <c r="Z76" s="42"/>
      <c r="AA76" s="40"/>
      <c r="AB76" s="40"/>
      <c r="AC76" s="40">
        <v>159400</v>
      </c>
      <c r="AD76" s="42"/>
      <c r="AF76">
        <f>VLOOKUP(A76,Devengos!$A$4:$I$389,9,0)</f>
        <v>22761765</v>
      </c>
      <c r="AG76">
        <f t="shared" si="94"/>
        <v>15933236</v>
      </c>
      <c r="AH76">
        <f>IFERROR(VLOOKUP(B76,'Planilla Mes anterior'!$CX:$CY,2,0),0)</f>
        <v>15933236</v>
      </c>
      <c r="AJ76" s="95">
        <v>0</v>
      </c>
    </row>
    <row r="77" spans="1:36" x14ac:dyDescent="0.3">
      <c r="A77" s="81">
        <v>20111088</v>
      </c>
      <c r="B77" s="5">
        <v>1098649460</v>
      </c>
      <c r="C77" s="36" t="s">
        <v>1198</v>
      </c>
      <c r="D77" s="36" t="s">
        <v>3344</v>
      </c>
      <c r="E77" s="39">
        <v>30</v>
      </c>
      <c r="F77" s="37">
        <v>0</v>
      </c>
      <c r="G77" s="37">
        <v>0</v>
      </c>
      <c r="H77" s="38">
        <v>22761765</v>
      </c>
      <c r="I77" s="39">
        <v>15933235</v>
      </c>
      <c r="J77" s="38">
        <v>859700</v>
      </c>
      <c r="K77" s="39">
        <v>23621465</v>
      </c>
      <c r="L77" s="39">
        <v>9448586</v>
      </c>
      <c r="M77" s="39"/>
      <c r="N77" s="39"/>
      <c r="O77" s="39"/>
      <c r="P77" s="38">
        <v>15933238</v>
      </c>
      <c r="Q77" s="39">
        <v>0</v>
      </c>
      <c r="R77" s="39">
        <v>0</v>
      </c>
      <c r="S77" s="40"/>
      <c r="T77" s="38"/>
      <c r="U77" s="40"/>
      <c r="V77" s="40">
        <v>637329</v>
      </c>
      <c r="W77" s="42"/>
      <c r="X77" s="40"/>
      <c r="Y77" s="40">
        <v>637329</v>
      </c>
      <c r="Z77" s="42"/>
      <c r="AA77" s="40"/>
      <c r="AB77" s="40"/>
      <c r="AC77" s="40">
        <v>159400</v>
      </c>
      <c r="AD77" s="42"/>
      <c r="AF77">
        <f>VLOOKUP(A77,Devengos!$A$4:$I$389,9,0)</f>
        <v>22761765</v>
      </c>
      <c r="AG77">
        <f t="shared" si="94"/>
        <v>15933236</v>
      </c>
      <c r="AH77">
        <f>IFERROR(VLOOKUP(B77,'Planilla Mes anterior'!$CX:$CY,2,0),0)</f>
        <v>15933238</v>
      </c>
      <c r="AJ77" s="95">
        <v>0</v>
      </c>
    </row>
    <row r="78" spans="1:36" x14ac:dyDescent="0.3">
      <c r="A78" s="81">
        <v>20111115</v>
      </c>
      <c r="B78" s="5">
        <v>1040742983.0000001</v>
      </c>
      <c r="C78" s="36" t="s">
        <v>1202</v>
      </c>
      <c r="D78" s="36" t="s">
        <v>3456</v>
      </c>
      <c r="E78" s="39">
        <v>30</v>
      </c>
      <c r="F78" s="37">
        <v>0</v>
      </c>
      <c r="G78" s="37">
        <v>2</v>
      </c>
      <c r="H78" s="38">
        <v>9406000</v>
      </c>
      <c r="I78" s="39">
        <v>9406000</v>
      </c>
      <c r="J78" s="38">
        <v>794500</v>
      </c>
      <c r="K78" s="39">
        <v>10200500</v>
      </c>
      <c r="L78" s="39">
        <v>4080200</v>
      </c>
      <c r="M78" s="39"/>
      <c r="N78" s="39"/>
      <c r="O78" s="39"/>
      <c r="P78" s="38">
        <v>9406000</v>
      </c>
      <c r="Q78" s="39">
        <v>0</v>
      </c>
      <c r="R78" s="39">
        <v>0</v>
      </c>
      <c r="S78" s="40"/>
      <c r="T78" s="38">
        <v>0</v>
      </c>
      <c r="U78" s="40"/>
      <c r="V78" s="40">
        <v>376240</v>
      </c>
      <c r="W78" s="42"/>
      <c r="X78" s="40"/>
      <c r="Y78" s="40">
        <v>376240</v>
      </c>
      <c r="Z78" s="42"/>
      <c r="AA78" s="40"/>
      <c r="AB78" s="40"/>
      <c r="AC78" s="40">
        <v>94200</v>
      </c>
      <c r="AD78" s="42"/>
      <c r="AF78">
        <f>VLOOKUP(A78,Devengos!$A$4:$I$389,9,0)</f>
        <v>9406000</v>
      </c>
      <c r="AG78">
        <f t="shared" si="94"/>
        <v>9406000</v>
      </c>
      <c r="AH78">
        <f>IFERROR(VLOOKUP(B78,'Planilla Mes anterior'!$CX:$CY,2,0),0)</f>
        <v>9406000</v>
      </c>
      <c r="AJ78" s="95">
        <v>0</v>
      </c>
    </row>
    <row r="79" spans="1:36" x14ac:dyDescent="0.3">
      <c r="A79" s="81">
        <v>20111496</v>
      </c>
      <c r="B79" s="5">
        <v>1075231064</v>
      </c>
      <c r="C79" s="36" t="s">
        <v>1207</v>
      </c>
      <c r="D79" s="36" t="s">
        <v>3344</v>
      </c>
      <c r="E79" s="39">
        <v>31</v>
      </c>
      <c r="F79" s="37">
        <v>0</v>
      </c>
      <c r="G79" s="37">
        <v>0</v>
      </c>
      <c r="H79" s="38">
        <v>29924537</v>
      </c>
      <c r="I79" s="39">
        <v>20947176</v>
      </c>
      <c r="J79" s="38">
        <v>909900</v>
      </c>
      <c r="K79" s="39">
        <v>30834437</v>
      </c>
      <c r="L79" s="39">
        <v>12333775</v>
      </c>
      <c r="M79" s="39"/>
      <c r="N79" s="39"/>
      <c r="O79" s="39"/>
      <c r="P79" s="38">
        <v>20251187</v>
      </c>
      <c r="Q79" s="39">
        <v>0</v>
      </c>
      <c r="R79" s="39">
        <v>0</v>
      </c>
      <c r="S79" s="40"/>
      <c r="T79" s="38"/>
      <c r="U79" s="40"/>
      <c r="V79" s="40">
        <v>837887</v>
      </c>
      <c r="W79" s="42"/>
      <c r="X79" s="40"/>
      <c r="Y79" s="40">
        <v>837887</v>
      </c>
      <c r="Z79" s="42"/>
      <c r="AA79" s="40"/>
      <c r="AB79" s="40"/>
      <c r="AC79" s="40">
        <v>209600</v>
      </c>
      <c r="AD79" s="42"/>
      <c r="AF79">
        <f>VLOOKUP(A79,Devengos!$A$4:$I$389,9,0)</f>
        <v>22761765.833299998</v>
      </c>
      <c r="AG79">
        <f t="shared" si="94"/>
        <v>15933236</v>
      </c>
      <c r="AH79">
        <f>IFERROR(VLOOKUP(B79,'Planilla Mes anterior'!$CX:$CY,2,0),0)</f>
        <v>20251187</v>
      </c>
      <c r="AJ79" s="95">
        <v>0</v>
      </c>
    </row>
    <row r="80" spans="1:36" x14ac:dyDescent="0.3">
      <c r="A80" s="81">
        <v>20111576</v>
      </c>
      <c r="B80" s="5">
        <v>72292772</v>
      </c>
      <c r="C80" s="36" t="s">
        <v>1210</v>
      </c>
      <c r="D80" s="36" t="s">
        <v>3456</v>
      </c>
      <c r="E80" s="39">
        <v>30</v>
      </c>
      <c r="F80" s="37">
        <v>0</v>
      </c>
      <c r="G80" s="37">
        <v>0</v>
      </c>
      <c r="H80" s="38">
        <v>7728466</v>
      </c>
      <c r="I80" s="39">
        <v>7728466</v>
      </c>
      <c r="J80" s="38">
        <v>777700</v>
      </c>
      <c r="K80" s="39">
        <v>8506166</v>
      </c>
      <c r="L80" s="39">
        <v>3402466</v>
      </c>
      <c r="M80" s="39"/>
      <c r="N80" s="39"/>
      <c r="O80" s="39"/>
      <c r="P80" s="38">
        <v>7077467</v>
      </c>
      <c r="Q80" s="39">
        <v>0</v>
      </c>
      <c r="R80" s="39">
        <v>0</v>
      </c>
      <c r="S80" s="40"/>
      <c r="T80" s="38">
        <v>0</v>
      </c>
      <c r="U80" s="40"/>
      <c r="V80" s="40">
        <v>309139</v>
      </c>
      <c r="W80" s="42"/>
      <c r="X80" s="40"/>
      <c r="Y80" s="40">
        <v>309139</v>
      </c>
      <c r="Z80" s="42"/>
      <c r="AA80" s="40"/>
      <c r="AB80" s="40"/>
      <c r="AC80" s="40">
        <v>77400</v>
      </c>
      <c r="AD80" s="42"/>
      <c r="AF80">
        <f>VLOOKUP(A80,Devengos!$A$4:$I$389,9,0)</f>
        <v>6986327</v>
      </c>
      <c r="AG80">
        <f t="shared" si="94"/>
        <v>6986327</v>
      </c>
      <c r="AH80">
        <f>IFERROR(VLOOKUP(B80,'Planilla Mes anterior'!$CX:$CY,2,0),0)</f>
        <v>7077467</v>
      </c>
      <c r="AJ80" s="95">
        <v>0</v>
      </c>
    </row>
    <row r="81" spans="1:36" x14ac:dyDescent="0.3">
      <c r="A81" s="81">
        <v>80113191</v>
      </c>
      <c r="B81" s="5">
        <v>1019005630</v>
      </c>
      <c r="C81" s="36" t="s">
        <v>1214</v>
      </c>
      <c r="D81" s="36" t="s">
        <v>3456</v>
      </c>
      <c r="E81" s="39">
        <v>16</v>
      </c>
      <c r="F81" s="37">
        <v>0</v>
      </c>
      <c r="G81" s="37">
        <v>0</v>
      </c>
      <c r="H81" s="38">
        <v>3258228</v>
      </c>
      <c r="I81" s="39">
        <v>3258228</v>
      </c>
      <c r="J81" s="38">
        <v>373494</v>
      </c>
      <c r="K81" s="39">
        <v>3631722</v>
      </c>
      <c r="L81" s="39">
        <v>1452689</v>
      </c>
      <c r="M81" s="39"/>
      <c r="N81" s="39"/>
      <c r="O81" s="39"/>
      <c r="P81" s="38">
        <v>6109178</v>
      </c>
      <c r="Q81" s="39">
        <v>0</v>
      </c>
      <c r="R81" s="39">
        <v>0</v>
      </c>
      <c r="S81" s="40"/>
      <c r="T81" s="38">
        <v>0</v>
      </c>
      <c r="U81" s="40"/>
      <c r="V81" s="40">
        <v>130329</v>
      </c>
      <c r="W81" s="42"/>
      <c r="X81" s="40"/>
      <c r="Y81" s="40">
        <v>130329</v>
      </c>
      <c r="Z81" s="42"/>
      <c r="AA81" s="40"/>
      <c r="AB81" s="40"/>
      <c r="AC81" s="40">
        <v>0</v>
      </c>
      <c r="AD81" s="42"/>
      <c r="AF81">
        <f>VLOOKUP(A81,Devengos!$A$4:$I$389,9,0)</f>
        <v>6109178</v>
      </c>
      <c r="AG81">
        <f t="shared" si="94"/>
        <v>6109178</v>
      </c>
      <c r="AH81">
        <f>IFERROR(VLOOKUP(B81,'Planilla Mes anterior'!$CX:$CY,2,0),0)</f>
        <v>6109178</v>
      </c>
      <c r="AJ81" s="95">
        <v>0</v>
      </c>
    </row>
    <row r="82" spans="1:36" x14ac:dyDescent="0.3">
      <c r="A82" s="81">
        <v>80113261</v>
      </c>
      <c r="B82" s="5">
        <v>1090485771</v>
      </c>
      <c r="C82" s="36" t="s">
        <v>1218</v>
      </c>
      <c r="D82" s="36" t="s">
        <v>3456</v>
      </c>
      <c r="E82" s="39">
        <v>30</v>
      </c>
      <c r="F82" s="37">
        <v>4</v>
      </c>
      <c r="G82" s="37">
        <v>0</v>
      </c>
      <c r="H82" s="38">
        <v>3949408</v>
      </c>
      <c r="I82" s="39">
        <v>3949408</v>
      </c>
      <c r="J82" s="38">
        <v>700300</v>
      </c>
      <c r="K82" s="39">
        <v>4649708</v>
      </c>
      <c r="L82" s="39">
        <v>1859883</v>
      </c>
      <c r="M82" s="39"/>
      <c r="N82" s="39"/>
      <c r="O82" s="39"/>
      <c r="P82" s="38">
        <v>4557009</v>
      </c>
      <c r="Q82" s="39">
        <v>607601</v>
      </c>
      <c r="R82" s="39">
        <v>0</v>
      </c>
      <c r="S82" s="40"/>
      <c r="T82" s="38">
        <v>0</v>
      </c>
      <c r="U82" s="40"/>
      <c r="V82" s="40">
        <v>182280</v>
      </c>
      <c r="W82" s="42"/>
      <c r="X82" s="40"/>
      <c r="Y82" s="40">
        <v>182280</v>
      </c>
      <c r="Z82" s="42"/>
      <c r="AA82" s="40"/>
      <c r="AB82" s="40"/>
      <c r="AC82" s="40">
        <v>0</v>
      </c>
      <c r="AD82" s="42"/>
      <c r="AF82">
        <f>VLOOKUP(A82,Devengos!$A$4:$I$389,9,0)</f>
        <v>4557009</v>
      </c>
      <c r="AG82">
        <f t="shared" si="94"/>
        <v>4557009</v>
      </c>
      <c r="AH82">
        <f>IFERROR(VLOOKUP(B82,'Planilla Mes anterior'!$CX:$CY,2,0),0)</f>
        <v>4557009</v>
      </c>
      <c r="AJ82" s="95">
        <v>0</v>
      </c>
    </row>
    <row r="83" spans="1:36" x14ac:dyDescent="0.3">
      <c r="A83" s="81">
        <v>80113669</v>
      </c>
      <c r="B83" s="5">
        <v>1130622393</v>
      </c>
      <c r="C83" s="36" t="s">
        <v>1221</v>
      </c>
      <c r="D83" s="36" t="s">
        <v>3456</v>
      </c>
      <c r="E83" s="39">
        <v>30</v>
      </c>
      <c r="F83" s="37">
        <v>0</v>
      </c>
      <c r="G83" s="37">
        <v>0</v>
      </c>
      <c r="H83" s="38">
        <v>7510913</v>
      </c>
      <c r="I83" s="39">
        <v>7510913</v>
      </c>
      <c r="J83" s="38">
        <v>775500</v>
      </c>
      <c r="K83" s="39">
        <v>8286413</v>
      </c>
      <c r="L83" s="39">
        <v>3314565</v>
      </c>
      <c r="M83" s="39"/>
      <c r="N83" s="39"/>
      <c r="O83" s="39"/>
      <c r="P83" s="38">
        <v>7510913</v>
      </c>
      <c r="Q83" s="39">
        <v>0</v>
      </c>
      <c r="R83" s="39">
        <v>0</v>
      </c>
      <c r="S83" s="40"/>
      <c r="T83" s="38">
        <v>0</v>
      </c>
      <c r="U83" s="40"/>
      <c r="V83" s="40">
        <v>300437</v>
      </c>
      <c r="W83" s="42"/>
      <c r="X83" s="40"/>
      <c r="Y83" s="40">
        <v>300437</v>
      </c>
      <c r="Z83" s="42"/>
      <c r="AA83" s="40"/>
      <c r="AB83" s="40"/>
      <c r="AC83" s="40">
        <v>75200</v>
      </c>
      <c r="AD83" s="42"/>
      <c r="AF83">
        <f>VLOOKUP(A83,Devengos!$A$4:$I$389,9,0)</f>
        <v>7510913</v>
      </c>
      <c r="AG83">
        <f t="shared" si="94"/>
        <v>7510913</v>
      </c>
      <c r="AH83">
        <f>IFERROR(VLOOKUP(B83,'Planilla Mes anterior'!$CX:$CY,2,0),0)</f>
        <v>7510913</v>
      </c>
      <c r="AJ83" s="95">
        <v>0</v>
      </c>
    </row>
    <row r="84" spans="1:36" x14ac:dyDescent="0.3">
      <c r="A84" s="81">
        <v>80115338</v>
      </c>
      <c r="B84" s="5">
        <v>1024492090</v>
      </c>
      <c r="C84" s="36" t="s">
        <v>3389</v>
      </c>
      <c r="D84" s="36" t="s">
        <v>3456</v>
      </c>
      <c r="E84" s="39">
        <v>30</v>
      </c>
      <c r="F84" s="37">
        <v>0</v>
      </c>
      <c r="G84" s="37">
        <v>0</v>
      </c>
      <c r="H84" s="38">
        <v>9016307</v>
      </c>
      <c r="I84" s="39">
        <v>9016307</v>
      </c>
      <c r="J84" s="38">
        <v>790500</v>
      </c>
      <c r="K84" s="39">
        <v>9806807</v>
      </c>
      <c r="L84" s="39">
        <v>3922723</v>
      </c>
      <c r="M84" s="39"/>
      <c r="N84" s="39"/>
      <c r="O84" s="39"/>
      <c r="P84" s="38">
        <v>9016307</v>
      </c>
      <c r="Q84" s="39">
        <v>0</v>
      </c>
      <c r="R84" s="39">
        <v>0</v>
      </c>
      <c r="S84" s="40"/>
      <c r="T84" s="38">
        <v>0</v>
      </c>
      <c r="U84" s="40"/>
      <c r="V84" s="40">
        <v>360652</v>
      </c>
      <c r="W84" s="42"/>
      <c r="X84" s="40"/>
      <c r="Y84" s="40">
        <v>360652</v>
      </c>
      <c r="Z84" s="42"/>
      <c r="AA84" s="40"/>
      <c r="AB84" s="40"/>
      <c r="AC84" s="40">
        <v>90200</v>
      </c>
      <c r="AD84" s="42"/>
      <c r="AF84">
        <f>VLOOKUP(A84,Devengos!$A$4:$I$389,9,0)</f>
        <v>9016307</v>
      </c>
      <c r="AG84">
        <f t="shared" si="94"/>
        <v>9016307</v>
      </c>
      <c r="AH84">
        <f>IFERROR(VLOOKUP(B84,'Planilla Mes anterior'!$CX:$CY,2,0),0)</f>
        <v>9016307</v>
      </c>
      <c r="AJ84" s="95">
        <v>0</v>
      </c>
    </row>
    <row r="85" spans="1:36" x14ac:dyDescent="0.3">
      <c r="A85" s="81">
        <v>80115424</v>
      </c>
      <c r="B85" s="5">
        <v>24346479</v>
      </c>
      <c r="C85" s="36" t="s">
        <v>1228</v>
      </c>
      <c r="D85" s="36" t="s">
        <v>3456</v>
      </c>
      <c r="E85" s="39">
        <v>30</v>
      </c>
      <c r="F85" s="37">
        <v>0</v>
      </c>
      <c r="G85" s="37">
        <v>0</v>
      </c>
      <c r="H85" s="38">
        <v>6256392</v>
      </c>
      <c r="I85" s="39">
        <v>6256392</v>
      </c>
      <c r="J85" s="38">
        <v>700300</v>
      </c>
      <c r="K85" s="39">
        <v>6956692</v>
      </c>
      <c r="L85" s="39">
        <v>2782677</v>
      </c>
      <c r="M85" s="39"/>
      <c r="N85" s="39"/>
      <c r="O85" s="39"/>
      <c r="P85" s="38">
        <v>6256392</v>
      </c>
      <c r="Q85" s="39">
        <v>0</v>
      </c>
      <c r="R85" s="39">
        <v>0</v>
      </c>
      <c r="S85" s="40"/>
      <c r="T85" s="38">
        <v>0</v>
      </c>
      <c r="U85" s="40"/>
      <c r="V85" s="40">
        <v>250256</v>
      </c>
      <c r="W85" s="42"/>
      <c r="X85" s="40"/>
      <c r="Y85" s="40">
        <v>250256</v>
      </c>
      <c r="Z85" s="42"/>
      <c r="AA85" s="40"/>
      <c r="AB85" s="40"/>
      <c r="AC85" s="40">
        <v>0</v>
      </c>
      <c r="AD85" s="42"/>
      <c r="AF85">
        <f>VLOOKUP(A85,Devengos!$A$4:$I$389,9,0)</f>
        <v>6256392</v>
      </c>
      <c r="AG85">
        <f t="shared" si="94"/>
        <v>6256392</v>
      </c>
      <c r="AH85">
        <f>IFERROR(VLOOKUP(B85,'Planilla Mes anterior'!$CX:$CY,2,0),0)</f>
        <v>6256392</v>
      </c>
      <c r="AJ85" s="95">
        <v>0</v>
      </c>
    </row>
    <row r="86" spans="1:36" x14ac:dyDescent="0.3">
      <c r="A86" s="81">
        <v>80116018</v>
      </c>
      <c r="B86" s="5">
        <v>1013608012.9999999</v>
      </c>
      <c r="C86" s="36" t="s">
        <v>1235</v>
      </c>
      <c r="D86" s="36" t="s">
        <v>3456</v>
      </c>
      <c r="E86" s="39">
        <v>30</v>
      </c>
      <c r="F86" s="37">
        <v>0</v>
      </c>
      <c r="G86" s="37">
        <v>0</v>
      </c>
      <c r="H86" s="38">
        <v>5469840</v>
      </c>
      <c r="I86" s="39">
        <v>5469840</v>
      </c>
      <c r="J86" s="38">
        <v>700300</v>
      </c>
      <c r="K86" s="39">
        <v>6170140</v>
      </c>
      <c r="L86" s="39">
        <v>2468056</v>
      </c>
      <c r="M86" s="39"/>
      <c r="N86" s="39"/>
      <c r="O86" s="39"/>
      <c r="P86" s="38">
        <v>5469840</v>
      </c>
      <c r="Q86" s="39">
        <v>0</v>
      </c>
      <c r="R86" s="39">
        <v>0</v>
      </c>
      <c r="S86" s="40"/>
      <c r="T86" s="38">
        <v>0</v>
      </c>
      <c r="U86" s="40"/>
      <c r="V86" s="40">
        <v>218794</v>
      </c>
      <c r="W86" s="42"/>
      <c r="X86" s="40"/>
      <c r="Y86" s="40">
        <v>218794</v>
      </c>
      <c r="Z86" s="42"/>
      <c r="AA86" s="40"/>
      <c r="AB86" s="40"/>
      <c r="AC86" s="40">
        <v>0</v>
      </c>
      <c r="AD86" s="42"/>
      <c r="AF86">
        <f>VLOOKUP(A86,Devengos!$A$4:$I$389,9,0)</f>
        <v>5469840</v>
      </c>
      <c r="AG86">
        <f t="shared" si="94"/>
        <v>5469840</v>
      </c>
      <c r="AH86">
        <f>IFERROR(VLOOKUP(B86,'Planilla Mes anterior'!$CX:$CY,2,0),0)</f>
        <v>5469840</v>
      </c>
      <c r="AJ86" s="95">
        <v>0</v>
      </c>
    </row>
    <row r="87" spans="1:36" x14ac:dyDescent="0.3">
      <c r="A87" s="81">
        <v>80116712</v>
      </c>
      <c r="B87" s="5">
        <v>1037592678</v>
      </c>
      <c r="C87" s="36" t="s">
        <v>1241</v>
      </c>
      <c r="D87" s="36" t="s">
        <v>3456</v>
      </c>
      <c r="E87" s="39">
        <v>30</v>
      </c>
      <c r="F87" s="37">
        <v>3</v>
      </c>
      <c r="G87" s="37">
        <v>0</v>
      </c>
      <c r="H87" s="38">
        <v>4297152</v>
      </c>
      <c r="I87" s="39">
        <v>4297152</v>
      </c>
      <c r="J87" s="38">
        <v>700300</v>
      </c>
      <c r="K87" s="39">
        <v>4997452</v>
      </c>
      <c r="L87" s="39">
        <v>1998981</v>
      </c>
      <c r="M87" s="39"/>
      <c r="N87" s="39"/>
      <c r="O87" s="39"/>
      <c r="P87" s="38">
        <v>4774614</v>
      </c>
      <c r="Q87" s="39">
        <v>477461</v>
      </c>
      <c r="R87" s="39">
        <v>0</v>
      </c>
      <c r="S87" s="40"/>
      <c r="T87" s="38">
        <v>0</v>
      </c>
      <c r="U87" s="40"/>
      <c r="V87" s="40">
        <v>190984</v>
      </c>
      <c r="W87" s="42"/>
      <c r="X87" s="40"/>
      <c r="Y87" s="40">
        <v>190984</v>
      </c>
      <c r="Z87" s="42"/>
      <c r="AA87" s="40"/>
      <c r="AB87" s="40"/>
      <c r="AC87" s="40">
        <v>0</v>
      </c>
      <c r="AD87" s="42"/>
      <c r="AF87">
        <f>VLOOKUP(A87,Devengos!$A$4:$I$389,9,0)</f>
        <v>4774613</v>
      </c>
      <c r="AG87">
        <f t="shared" si="94"/>
        <v>4774613</v>
      </c>
      <c r="AH87">
        <f>IFERROR(VLOOKUP(B87,'Planilla Mes anterior'!$CX:$CY,2,0),0)</f>
        <v>4774614</v>
      </c>
      <c r="AJ87" s="95">
        <v>0</v>
      </c>
    </row>
    <row r="88" spans="1:36" x14ac:dyDescent="0.3">
      <c r="A88" s="81">
        <v>80116856</v>
      </c>
      <c r="B88" s="5">
        <v>1098694653</v>
      </c>
      <c r="C88" s="36" t="s">
        <v>1245</v>
      </c>
      <c r="D88" s="36" t="s">
        <v>3456</v>
      </c>
      <c r="E88" s="39">
        <v>30</v>
      </c>
      <c r="F88" s="37">
        <v>0</v>
      </c>
      <c r="G88" s="37">
        <v>0</v>
      </c>
      <c r="H88" s="38">
        <v>5559766</v>
      </c>
      <c r="I88" s="39">
        <v>5559766</v>
      </c>
      <c r="J88" s="38">
        <v>727249</v>
      </c>
      <c r="K88" s="39">
        <v>6287015</v>
      </c>
      <c r="L88" s="39">
        <v>2514806</v>
      </c>
      <c r="M88" s="39"/>
      <c r="N88" s="39"/>
      <c r="O88" s="39"/>
      <c r="P88" s="38">
        <v>5559766</v>
      </c>
      <c r="Q88" s="39">
        <v>0</v>
      </c>
      <c r="R88" s="39">
        <v>0</v>
      </c>
      <c r="S88" s="40"/>
      <c r="T88" s="38">
        <v>0</v>
      </c>
      <c r="U88" s="40"/>
      <c r="V88" s="40">
        <v>222391</v>
      </c>
      <c r="W88" s="42"/>
      <c r="X88" s="40"/>
      <c r="Y88" s="40">
        <v>222391</v>
      </c>
      <c r="Z88" s="42"/>
      <c r="AA88" s="40"/>
      <c r="AB88" s="40"/>
      <c r="AC88" s="40">
        <v>0</v>
      </c>
      <c r="AD88" s="42"/>
      <c r="AF88">
        <f>VLOOKUP(A88,Devengos!$A$4:$I$389,9,0)</f>
        <v>5559766</v>
      </c>
      <c r="AG88">
        <f t="shared" si="94"/>
        <v>5559766</v>
      </c>
      <c r="AH88">
        <f>IFERROR(VLOOKUP(B88,'Planilla Mes anterior'!$CX:$CY,2,0),0)</f>
        <v>5559766</v>
      </c>
      <c r="AJ88" s="95">
        <v>0</v>
      </c>
    </row>
    <row r="89" spans="1:36" x14ac:dyDescent="0.3">
      <c r="A89" s="81">
        <v>80118328</v>
      </c>
      <c r="B89" s="5">
        <v>1013600819.0000001</v>
      </c>
      <c r="C89" s="36" t="s">
        <v>1250</v>
      </c>
      <c r="D89" s="36" t="s">
        <v>3456</v>
      </c>
      <c r="E89" s="39">
        <v>30</v>
      </c>
      <c r="F89" s="37">
        <v>0</v>
      </c>
      <c r="G89" s="37">
        <v>0</v>
      </c>
      <c r="H89" s="38">
        <v>4000000</v>
      </c>
      <c r="I89" s="39">
        <v>4000000</v>
      </c>
      <c r="J89" s="38">
        <v>525200</v>
      </c>
      <c r="K89" s="39">
        <v>4525200</v>
      </c>
      <c r="L89" s="39">
        <v>1810080</v>
      </c>
      <c r="M89" s="39"/>
      <c r="N89" s="39"/>
      <c r="O89" s="39"/>
      <c r="P89" s="38">
        <v>3225001</v>
      </c>
      <c r="Q89" s="39">
        <v>0</v>
      </c>
      <c r="R89" s="39">
        <v>0</v>
      </c>
      <c r="S89" s="40"/>
      <c r="T89" s="38">
        <v>0</v>
      </c>
      <c r="U89" s="40"/>
      <c r="V89" s="40">
        <v>160000</v>
      </c>
      <c r="W89" s="42"/>
      <c r="X89" s="40"/>
      <c r="Y89" s="40">
        <v>160000</v>
      </c>
      <c r="Z89" s="42"/>
      <c r="AA89" s="40"/>
      <c r="AB89" s="40"/>
      <c r="AC89" s="40">
        <v>0</v>
      </c>
      <c r="AD89" s="42"/>
      <c r="AF89">
        <f>VLOOKUP(A89,Devengos!$A$4:$I$389,9,0)</f>
        <v>4000000</v>
      </c>
      <c r="AG89">
        <f t="shared" si="94"/>
        <v>4000000</v>
      </c>
      <c r="AH89">
        <f>IFERROR(VLOOKUP(B89,'Planilla Mes anterior'!$CX:$CY,2,0),0)</f>
        <v>3225001</v>
      </c>
      <c r="AJ89" s="95">
        <v>0</v>
      </c>
    </row>
    <row r="90" spans="1:36" x14ac:dyDescent="0.3">
      <c r="A90" s="81">
        <v>80118771</v>
      </c>
      <c r="B90" s="5">
        <v>1030669458</v>
      </c>
      <c r="C90" s="36" t="s">
        <v>1257</v>
      </c>
      <c r="D90" s="36" t="s">
        <v>3456</v>
      </c>
      <c r="E90" s="39">
        <v>30</v>
      </c>
      <c r="F90" s="37">
        <v>2</v>
      </c>
      <c r="G90" s="37">
        <v>0</v>
      </c>
      <c r="H90" s="38">
        <v>4061935</v>
      </c>
      <c r="I90" s="39">
        <v>4061935</v>
      </c>
      <c r="J90" s="38">
        <v>700300</v>
      </c>
      <c r="K90" s="39">
        <v>4762235</v>
      </c>
      <c r="L90" s="39">
        <v>1904894</v>
      </c>
      <c r="M90" s="39"/>
      <c r="N90" s="39"/>
      <c r="O90" s="39"/>
      <c r="P90" s="38">
        <v>4352073</v>
      </c>
      <c r="Q90" s="39">
        <v>290138</v>
      </c>
      <c r="R90" s="39">
        <v>0</v>
      </c>
      <c r="S90" s="40"/>
      <c r="T90" s="38">
        <v>0</v>
      </c>
      <c r="U90" s="40"/>
      <c r="V90" s="40">
        <v>174083</v>
      </c>
      <c r="W90" s="42"/>
      <c r="X90" s="40"/>
      <c r="Y90" s="40">
        <v>174083</v>
      </c>
      <c r="Z90" s="42"/>
      <c r="AA90" s="40"/>
      <c r="AB90" s="40"/>
      <c r="AC90" s="40">
        <v>0</v>
      </c>
      <c r="AD90" s="42"/>
      <c r="AF90">
        <f>VLOOKUP(A90,Devengos!$A$4:$I$389,9,0)</f>
        <v>4352073</v>
      </c>
      <c r="AG90">
        <f t="shared" si="94"/>
        <v>4352073</v>
      </c>
      <c r="AH90">
        <f>IFERROR(VLOOKUP(B90,'Planilla Mes anterior'!$CX:$CY,2,0),0)</f>
        <v>4352073</v>
      </c>
      <c r="AJ90" s="95">
        <v>0</v>
      </c>
    </row>
    <row r="91" spans="1:36" x14ac:dyDescent="0.3">
      <c r="A91" s="81">
        <v>80119392</v>
      </c>
      <c r="B91" s="5">
        <v>1096190137</v>
      </c>
      <c r="C91" s="36" t="s">
        <v>1264</v>
      </c>
      <c r="D91" s="36" t="s">
        <v>3456</v>
      </c>
      <c r="E91" s="39">
        <v>30</v>
      </c>
      <c r="F91" s="37">
        <v>0</v>
      </c>
      <c r="G91" s="37">
        <v>0</v>
      </c>
      <c r="H91" s="38">
        <v>4199201</v>
      </c>
      <c r="I91" s="39">
        <v>4199201</v>
      </c>
      <c r="J91" s="38">
        <v>700300</v>
      </c>
      <c r="K91" s="39">
        <v>4899501</v>
      </c>
      <c r="L91" s="39">
        <v>1959800</v>
      </c>
      <c r="M91" s="39"/>
      <c r="N91" s="39"/>
      <c r="O91" s="39"/>
      <c r="P91" s="38">
        <v>4199201</v>
      </c>
      <c r="Q91" s="39">
        <v>0</v>
      </c>
      <c r="R91" s="39">
        <v>0</v>
      </c>
      <c r="S91" s="40"/>
      <c r="T91" s="38">
        <v>0</v>
      </c>
      <c r="U91" s="40"/>
      <c r="V91" s="40">
        <v>167968</v>
      </c>
      <c r="W91" s="42"/>
      <c r="X91" s="40"/>
      <c r="Y91" s="40">
        <v>167968</v>
      </c>
      <c r="Z91" s="42"/>
      <c r="AA91" s="40"/>
      <c r="AB91" s="40"/>
      <c r="AC91" s="40">
        <v>0</v>
      </c>
      <c r="AD91" s="42"/>
      <c r="AF91">
        <f>VLOOKUP(A91,Devengos!$A$4:$I$389,9,0)</f>
        <v>4199201</v>
      </c>
      <c r="AG91">
        <f t="shared" si="94"/>
        <v>4199201</v>
      </c>
      <c r="AH91">
        <f>IFERROR(VLOOKUP(B91,'Planilla Mes anterior'!$CX:$CY,2,0),0)</f>
        <v>4199201</v>
      </c>
      <c r="AJ91" s="95">
        <v>0</v>
      </c>
    </row>
    <row r="92" spans="1:36" x14ac:dyDescent="0.3">
      <c r="A92" s="81">
        <v>80120762</v>
      </c>
      <c r="B92" s="5">
        <v>954026</v>
      </c>
      <c r="C92" s="36" t="s">
        <v>1270</v>
      </c>
      <c r="D92" s="36" t="s">
        <v>3456</v>
      </c>
      <c r="E92" s="39">
        <v>30</v>
      </c>
      <c r="F92" s="37">
        <v>0</v>
      </c>
      <c r="G92" s="37">
        <v>0</v>
      </c>
      <c r="H92" s="38">
        <v>4685783</v>
      </c>
      <c r="I92" s="39">
        <v>4685783</v>
      </c>
      <c r="J92" s="38">
        <v>700300</v>
      </c>
      <c r="K92" s="39">
        <v>5386083</v>
      </c>
      <c r="L92" s="39">
        <v>2154433</v>
      </c>
      <c r="M92" s="39"/>
      <c r="N92" s="39"/>
      <c r="O92" s="39"/>
      <c r="P92" s="38">
        <v>4685783</v>
      </c>
      <c r="Q92" s="39">
        <v>0</v>
      </c>
      <c r="R92" s="39">
        <v>0</v>
      </c>
      <c r="S92" s="40"/>
      <c r="T92" s="38">
        <v>0</v>
      </c>
      <c r="U92" s="40"/>
      <c r="V92" s="40">
        <v>187431</v>
      </c>
      <c r="W92" s="42"/>
      <c r="X92" s="40"/>
      <c r="Y92" s="40">
        <v>187431</v>
      </c>
      <c r="Z92" s="42"/>
      <c r="AA92" s="40"/>
      <c r="AB92" s="40"/>
      <c r="AC92" s="40">
        <v>0</v>
      </c>
      <c r="AD92" s="42"/>
      <c r="AF92">
        <f>VLOOKUP(A92,Devengos!$A$4:$I$389,9,0)</f>
        <v>4685783</v>
      </c>
      <c r="AG92">
        <f t="shared" si="94"/>
        <v>4685783</v>
      </c>
      <c r="AH92">
        <f>IFERROR(VLOOKUP(B92,'Planilla Mes anterior'!$CX:$CY,2,0),0)</f>
        <v>4685783</v>
      </c>
      <c r="AJ92" s="95">
        <v>0</v>
      </c>
    </row>
    <row r="93" spans="1:36" x14ac:dyDescent="0.3">
      <c r="A93" s="81">
        <v>80122396</v>
      </c>
      <c r="B93" s="5">
        <v>1000180327.0000001</v>
      </c>
      <c r="C93" s="36" t="s">
        <v>3316</v>
      </c>
      <c r="D93" s="36" t="s">
        <v>3456</v>
      </c>
      <c r="E93" s="39">
        <v>30</v>
      </c>
      <c r="F93" s="37">
        <v>0</v>
      </c>
      <c r="G93" s="37">
        <v>0</v>
      </c>
      <c r="H93" s="38">
        <v>4320857</v>
      </c>
      <c r="I93" s="39">
        <v>4320857</v>
      </c>
      <c r="J93" s="38">
        <v>700300</v>
      </c>
      <c r="K93" s="39">
        <v>5021157</v>
      </c>
      <c r="L93" s="39">
        <v>2008463</v>
      </c>
      <c r="M93" s="39"/>
      <c r="N93" s="39"/>
      <c r="O93" s="39"/>
      <c r="P93" s="38">
        <v>4320857</v>
      </c>
      <c r="Q93" s="39">
        <v>0</v>
      </c>
      <c r="R93" s="39">
        <v>0</v>
      </c>
      <c r="S93" s="40"/>
      <c r="T93" s="38">
        <v>0</v>
      </c>
      <c r="U93" s="40"/>
      <c r="V93" s="40">
        <v>172834</v>
      </c>
      <c r="W93" s="42"/>
      <c r="X93" s="40"/>
      <c r="Y93" s="40">
        <v>172834</v>
      </c>
      <c r="Z93" s="42"/>
      <c r="AA93" s="40"/>
      <c r="AB93" s="40"/>
      <c r="AC93" s="40">
        <v>0</v>
      </c>
      <c r="AD93" s="42"/>
      <c r="AF93">
        <f>VLOOKUP(A93,Devengos!$A$4:$I$389,9,0)</f>
        <v>4320857</v>
      </c>
      <c r="AG93">
        <f t="shared" si="94"/>
        <v>4320857</v>
      </c>
      <c r="AH93">
        <f>IFERROR(VLOOKUP(B93,'Planilla Mes anterior'!$CX:$CY,2,0),0)</f>
        <v>4320857</v>
      </c>
      <c r="AJ93" s="95">
        <v>0</v>
      </c>
    </row>
    <row r="94" spans="1:36" x14ac:dyDescent="0.3">
      <c r="A94" s="81">
        <v>80122450</v>
      </c>
      <c r="B94" s="5">
        <v>1233696420</v>
      </c>
      <c r="C94" s="36" t="s">
        <v>3259</v>
      </c>
      <c r="D94" s="36" t="s">
        <v>3456</v>
      </c>
      <c r="E94" s="39">
        <v>30</v>
      </c>
      <c r="F94" s="37">
        <v>0</v>
      </c>
      <c r="G94" s="37">
        <v>0</v>
      </c>
      <c r="H94" s="38">
        <v>4230000</v>
      </c>
      <c r="I94" s="39">
        <v>4230000</v>
      </c>
      <c r="J94" s="38">
        <v>700300</v>
      </c>
      <c r="K94" s="39">
        <v>4930300</v>
      </c>
      <c r="L94" s="39">
        <v>1972120</v>
      </c>
      <c r="M94" s="39"/>
      <c r="N94" s="39"/>
      <c r="O94" s="39"/>
      <c r="P94" s="38">
        <v>5229683</v>
      </c>
      <c r="Q94" s="39">
        <v>0</v>
      </c>
      <c r="R94" s="39">
        <v>0</v>
      </c>
      <c r="S94" s="40"/>
      <c r="T94" s="38">
        <v>0</v>
      </c>
      <c r="U94" s="40"/>
      <c r="V94" s="40">
        <v>169200</v>
      </c>
      <c r="W94" s="42"/>
      <c r="X94" s="40"/>
      <c r="Y94" s="40">
        <v>169200</v>
      </c>
      <c r="Z94" s="42"/>
      <c r="AA94" s="40"/>
      <c r="AB94" s="40"/>
      <c r="AC94" s="40">
        <v>0</v>
      </c>
      <c r="AD94" s="42"/>
      <c r="AF94">
        <f>VLOOKUP(A94,Devengos!$A$4:$I$389,9,0)</f>
        <v>4230000</v>
      </c>
      <c r="AG94">
        <f t="shared" si="94"/>
        <v>4230000</v>
      </c>
      <c r="AH94">
        <f>IFERROR(VLOOKUP(B94,'Planilla Mes anterior'!$CX:$CY,2,0),0)</f>
        <v>5229683</v>
      </c>
      <c r="AJ94" s="95">
        <v>0</v>
      </c>
    </row>
    <row r="95" spans="1:36" x14ac:dyDescent="0.3">
      <c r="A95" s="81">
        <v>80123026</v>
      </c>
      <c r="B95" s="5">
        <v>1193148475</v>
      </c>
      <c r="C95" s="36" t="s">
        <v>3264</v>
      </c>
      <c r="D95" s="36" t="s">
        <v>3456</v>
      </c>
      <c r="E95" s="39">
        <v>30</v>
      </c>
      <c r="F95" s="37">
        <v>0</v>
      </c>
      <c r="G95" s="37">
        <v>0</v>
      </c>
      <c r="H95" s="38">
        <v>4260000</v>
      </c>
      <c r="I95" s="39">
        <v>4260000</v>
      </c>
      <c r="J95" s="38">
        <v>700300</v>
      </c>
      <c r="K95" s="39">
        <v>4960300</v>
      </c>
      <c r="L95" s="39">
        <v>1984120</v>
      </c>
      <c r="M95" s="39"/>
      <c r="N95" s="39"/>
      <c r="O95" s="39"/>
      <c r="P95" s="38">
        <v>4260000</v>
      </c>
      <c r="Q95" s="39">
        <v>0</v>
      </c>
      <c r="R95" s="39">
        <v>0</v>
      </c>
      <c r="S95" s="40"/>
      <c r="T95" s="38">
        <v>0</v>
      </c>
      <c r="U95" s="40"/>
      <c r="V95" s="40">
        <v>170400</v>
      </c>
      <c r="W95" s="42"/>
      <c r="X95" s="40"/>
      <c r="Y95" s="40">
        <v>170400</v>
      </c>
      <c r="Z95" s="42"/>
      <c r="AA95" s="40"/>
      <c r="AB95" s="40"/>
      <c r="AC95" s="40">
        <v>0</v>
      </c>
      <c r="AD95" s="42"/>
      <c r="AF95">
        <f>VLOOKUP(A95,Devengos!$A$4:$I$389,9,0)</f>
        <v>4260000</v>
      </c>
      <c r="AG95">
        <f t="shared" si="94"/>
        <v>4260000</v>
      </c>
      <c r="AH95">
        <f>IFERROR(VLOOKUP(B95,'Planilla Mes anterior'!$CX:$CY,2,0),0)</f>
        <v>4260000</v>
      </c>
      <c r="AJ95" s="95">
        <v>0</v>
      </c>
    </row>
    <row r="96" spans="1:36" x14ac:dyDescent="0.3">
      <c r="A96" s="81">
        <v>80123036</v>
      </c>
      <c r="B96" s="5">
        <v>1018502234</v>
      </c>
      <c r="C96" s="36" t="s">
        <v>1274</v>
      </c>
      <c r="D96" s="36" t="s">
        <v>3456</v>
      </c>
      <c r="E96" s="39">
        <v>30</v>
      </c>
      <c r="F96" s="37">
        <v>0</v>
      </c>
      <c r="G96" s="37">
        <v>0</v>
      </c>
      <c r="H96" s="38">
        <v>2292844</v>
      </c>
      <c r="I96" s="39">
        <v>2292844</v>
      </c>
      <c r="J96" s="38">
        <v>774200</v>
      </c>
      <c r="K96" s="39">
        <v>3067044</v>
      </c>
      <c r="L96" s="39">
        <v>1226818</v>
      </c>
      <c r="M96" s="39"/>
      <c r="N96" s="39"/>
      <c r="O96" s="39"/>
      <c r="P96" s="38">
        <v>2292246</v>
      </c>
      <c r="Q96" s="39">
        <v>0</v>
      </c>
      <c r="R96" s="39">
        <v>0</v>
      </c>
      <c r="S96" s="40"/>
      <c r="T96" s="38">
        <v>0</v>
      </c>
      <c r="U96" s="40"/>
      <c r="V96" s="40">
        <v>91714</v>
      </c>
      <c r="W96" s="42"/>
      <c r="X96" s="40"/>
      <c r="Y96" s="40">
        <v>91714</v>
      </c>
      <c r="Z96" s="42"/>
      <c r="AA96" s="40"/>
      <c r="AB96" s="40"/>
      <c r="AC96" s="40">
        <v>0</v>
      </c>
      <c r="AD96" s="42"/>
      <c r="AF96">
        <f>VLOOKUP(A96,Devengos!$A$4:$I$389,9,0)</f>
        <v>2292844</v>
      </c>
      <c r="AG96">
        <f t="shared" si="94"/>
        <v>2292844</v>
      </c>
      <c r="AH96">
        <f>IFERROR(VLOOKUP(B96,'Planilla Mes anterior'!$CX:$CY,2,0),0)</f>
        <v>2292246</v>
      </c>
      <c r="AJ96" s="95">
        <v>0</v>
      </c>
    </row>
    <row r="97" spans="1:36" x14ac:dyDescent="0.3">
      <c r="A97" s="81">
        <v>80123148</v>
      </c>
      <c r="B97" s="5">
        <v>1001067170</v>
      </c>
      <c r="C97" s="36" t="s">
        <v>1279</v>
      </c>
      <c r="D97" s="36" t="s">
        <v>3456</v>
      </c>
      <c r="E97" s="39">
        <v>30</v>
      </c>
      <c r="F97" s="37">
        <v>0</v>
      </c>
      <c r="G97" s="37">
        <v>0</v>
      </c>
      <c r="H97" s="38">
        <v>2307806</v>
      </c>
      <c r="I97" s="39">
        <v>2307806</v>
      </c>
      <c r="J97" s="38">
        <v>774200</v>
      </c>
      <c r="K97" s="39">
        <v>3082006</v>
      </c>
      <c r="L97" s="39">
        <v>1232802</v>
      </c>
      <c r="M97" s="39"/>
      <c r="N97" s="39"/>
      <c r="O97" s="39"/>
      <c r="P97" s="38">
        <v>2307806</v>
      </c>
      <c r="Q97" s="39">
        <v>0</v>
      </c>
      <c r="R97" s="39">
        <v>0</v>
      </c>
      <c r="S97" s="40"/>
      <c r="T97" s="38">
        <v>0</v>
      </c>
      <c r="U97" s="40"/>
      <c r="V97" s="40">
        <v>92312</v>
      </c>
      <c r="W97" s="42"/>
      <c r="X97" s="40"/>
      <c r="Y97" s="40">
        <v>92312</v>
      </c>
      <c r="Z97" s="42"/>
      <c r="AA97" s="40"/>
      <c r="AB97" s="40"/>
      <c r="AC97" s="40">
        <v>0</v>
      </c>
      <c r="AD97" s="42"/>
      <c r="AF97">
        <f>VLOOKUP(A97,Devengos!$A$4:$I$389,9,0)</f>
        <v>2307806</v>
      </c>
      <c r="AG97">
        <f t="shared" si="94"/>
        <v>2307806</v>
      </c>
      <c r="AH97">
        <f>IFERROR(VLOOKUP(B97,'Planilla Mes anterior'!$CX:$CY,2,0),0)</f>
        <v>2307806</v>
      </c>
      <c r="AJ97" s="95">
        <v>0</v>
      </c>
    </row>
    <row r="98" spans="1:36" x14ac:dyDescent="0.3">
      <c r="A98" s="81">
        <v>80124088</v>
      </c>
      <c r="B98" s="5">
        <v>1151941692</v>
      </c>
      <c r="C98" s="36" t="s">
        <v>3974</v>
      </c>
      <c r="D98" s="36" t="s">
        <v>3344</v>
      </c>
      <c r="E98" s="39">
        <v>30</v>
      </c>
      <c r="F98" s="37">
        <v>0</v>
      </c>
      <c r="G98" s="37">
        <v>0</v>
      </c>
      <c r="H98" s="38">
        <v>22761765</v>
      </c>
      <c r="I98" s="39">
        <v>15933235</v>
      </c>
      <c r="J98" s="38">
        <v>859700</v>
      </c>
      <c r="K98" s="39">
        <v>23621465</v>
      </c>
      <c r="L98" s="39">
        <v>9448586</v>
      </c>
      <c r="M98" s="39"/>
      <c r="N98" s="39"/>
      <c r="O98" s="39"/>
      <c r="P98" s="38">
        <v>22761765.714</v>
      </c>
      <c r="Q98" s="39">
        <v>0</v>
      </c>
      <c r="R98" s="39">
        <v>0</v>
      </c>
      <c r="S98" s="40"/>
      <c r="T98" s="38"/>
      <c r="U98" s="40"/>
      <c r="V98" s="40">
        <v>637329</v>
      </c>
      <c r="W98" s="42"/>
      <c r="X98" s="40"/>
      <c r="Y98" s="40">
        <v>637329</v>
      </c>
      <c r="Z98" s="42"/>
      <c r="AA98" s="40"/>
      <c r="AB98" s="40"/>
      <c r="AC98" s="40">
        <v>159400</v>
      </c>
      <c r="AD98" s="42"/>
      <c r="AF98">
        <f>VLOOKUP(A98,Devengos!$A$4:$I$389,9,0)</f>
        <v>22761765</v>
      </c>
      <c r="AG98">
        <f t="shared" si="94"/>
        <v>15933236</v>
      </c>
      <c r="AH98">
        <f>IFERROR(VLOOKUP(B98,'Planilla Mes anterior'!$CX:$CY,2,0),0)</f>
        <v>15933236</v>
      </c>
      <c r="AJ98" s="95">
        <v>0</v>
      </c>
    </row>
    <row r="99" spans="1:36" x14ac:dyDescent="0.3">
      <c r="A99" s="81">
        <v>80124137</v>
      </c>
      <c r="B99" s="5">
        <v>1038103808.9999999</v>
      </c>
      <c r="C99" s="36" t="s">
        <v>3914</v>
      </c>
      <c r="D99" s="36" t="s">
        <v>3456</v>
      </c>
      <c r="E99" s="39">
        <v>30</v>
      </c>
      <c r="F99" s="37">
        <v>0</v>
      </c>
      <c r="G99" s="37">
        <v>0</v>
      </c>
      <c r="H99" s="38">
        <v>2964368</v>
      </c>
      <c r="I99" s="39">
        <v>2964368</v>
      </c>
      <c r="J99" s="38">
        <v>774200</v>
      </c>
      <c r="K99" s="39">
        <v>3738568</v>
      </c>
      <c r="L99" s="39">
        <v>1495427</v>
      </c>
      <c r="M99" s="39"/>
      <c r="N99" s="39"/>
      <c r="O99" s="39"/>
      <c r="P99" s="38">
        <v>2964368</v>
      </c>
      <c r="Q99" s="39">
        <v>0</v>
      </c>
      <c r="R99" s="39">
        <v>0</v>
      </c>
      <c r="S99" s="40"/>
      <c r="T99" s="38">
        <v>0</v>
      </c>
      <c r="U99" s="40"/>
      <c r="V99" s="40">
        <v>118575</v>
      </c>
      <c r="W99" s="42"/>
      <c r="X99" s="40"/>
      <c r="Y99" s="40">
        <v>118575</v>
      </c>
      <c r="Z99" s="42"/>
      <c r="AA99" s="40"/>
      <c r="AB99" s="40"/>
      <c r="AC99" s="40">
        <v>0</v>
      </c>
      <c r="AD99" s="42"/>
      <c r="AF99">
        <f>VLOOKUP(A99,Devengos!$A$4:$I$389,9,0)</f>
        <v>2964368</v>
      </c>
      <c r="AG99">
        <f t="shared" si="94"/>
        <v>2964368</v>
      </c>
      <c r="AH99">
        <f>IFERROR(VLOOKUP(B99,'Planilla Mes anterior'!$CX:$CY,2,0),0)</f>
        <v>2964368</v>
      </c>
      <c r="AJ99" s="95">
        <v>0</v>
      </c>
    </row>
    <row r="100" spans="1:36" x14ac:dyDescent="0.3">
      <c r="A100" s="81">
        <v>80125061</v>
      </c>
      <c r="B100" s="5">
        <v>80844918</v>
      </c>
      <c r="C100" s="36" t="s">
        <v>3980</v>
      </c>
      <c r="D100" s="36" t="s">
        <v>3344</v>
      </c>
      <c r="E100" s="39">
        <v>30</v>
      </c>
      <c r="F100" s="37">
        <v>0</v>
      </c>
      <c r="G100" s="37">
        <v>0</v>
      </c>
      <c r="H100" s="38">
        <v>22761765</v>
      </c>
      <c r="I100" s="39">
        <v>15933235</v>
      </c>
      <c r="J100" s="38">
        <v>859700</v>
      </c>
      <c r="K100" s="39">
        <v>23621465</v>
      </c>
      <c r="L100" s="39">
        <v>9448586</v>
      </c>
      <c r="M100" s="39"/>
      <c r="N100" s="39"/>
      <c r="O100" s="39"/>
      <c r="P100" s="38">
        <v>22761765.714</v>
      </c>
      <c r="Q100" s="39">
        <v>0</v>
      </c>
      <c r="R100" s="39">
        <v>0</v>
      </c>
      <c r="S100" s="40"/>
      <c r="T100" s="38"/>
      <c r="U100" s="40"/>
      <c r="V100" s="40">
        <v>637329</v>
      </c>
      <c r="W100" s="42"/>
      <c r="X100" s="40"/>
      <c r="Y100" s="40">
        <v>637329</v>
      </c>
      <c r="Z100" s="42"/>
      <c r="AA100" s="40"/>
      <c r="AB100" s="40"/>
      <c r="AC100" s="40">
        <v>159400</v>
      </c>
      <c r="AD100" s="42"/>
      <c r="AF100">
        <f>VLOOKUP(A100,Devengos!$A$4:$I$389,9,0)</f>
        <v>22761765</v>
      </c>
      <c r="AG100">
        <f t="shared" si="94"/>
        <v>15933236</v>
      </c>
      <c r="AH100">
        <f>IFERROR(VLOOKUP(B100,'Planilla Mes anterior'!$CX:$CY,2,0),0)</f>
        <v>15933236</v>
      </c>
      <c r="AJ100" s="95">
        <v>0</v>
      </c>
    </row>
    <row r="101" spans="1:36" x14ac:dyDescent="0.3">
      <c r="A101" s="81">
        <v>80125201</v>
      </c>
      <c r="B101" s="5">
        <v>16944092</v>
      </c>
      <c r="C101" s="36" t="s">
        <v>3504</v>
      </c>
      <c r="D101" s="36" t="s">
        <v>3344</v>
      </c>
      <c r="E101" s="39">
        <v>30</v>
      </c>
      <c r="F101" s="37">
        <v>9</v>
      </c>
      <c r="G101" s="37">
        <v>0</v>
      </c>
      <c r="H101" s="38">
        <v>15933236</v>
      </c>
      <c r="I101" s="39">
        <v>11153265</v>
      </c>
      <c r="J101" s="38">
        <v>859900</v>
      </c>
      <c r="K101" s="39">
        <v>16793136</v>
      </c>
      <c r="L101" s="39">
        <v>6717254</v>
      </c>
      <c r="M101" s="39"/>
      <c r="N101" s="39"/>
      <c r="O101" s="39"/>
      <c r="P101" s="38">
        <v>15933236</v>
      </c>
      <c r="Q101" s="39">
        <v>4779971</v>
      </c>
      <c r="R101" s="39">
        <v>0</v>
      </c>
      <c r="S101" s="40"/>
      <c r="T101" s="38"/>
      <c r="U101" s="40"/>
      <c r="V101" s="40">
        <v>637330</v>
      </c>
      <c r="W101" s="42"/>
      <c r="X101" s="40"/>
      <c r="Y101" s="40">
        <v>637330</v>
      </c>
      <c r="Z101" s="42"/>
      <c r="AA101" s="40"/>
      <c r="AB101" s="40"/>
      <c r="AC101" s="40">
        <v>159600</v>
      </c>
      <c r="AD101" s="42"/>
      <c r="AF101">
        <f>VLOOKUP(A101,Devengos!$A$4:$I$389,9,0)</f>
        <v>22761765</v>
      </c>
      <c r="AG101">
        <f t="shared" si="94"/>
        <v>15933236</v>
      </c>
      <c r="AH101">
        <f>IFERROR(VLOOKUP(B101,'Planilla Mes anterior'!$CX:$CY,2,0),0)</f>
        <v>15933236</v>
      </c>
      <c r="AJ101" s="95">
        <v>0</v>
      </c>
    </row>
    <row r="102" spans="1:36" x14ac:dyDescent="0.3">
      <c r="A102" s="81">
        <v>80125328</v>
      </c>
      <c r="B102" s="5">
        <v>1036641795.0000001</v>
      </c>
      <c r="C102" s="36" t="s">
        <v>3505</v>
      </c>
      <c r="D102" s="36" t="s">
        <v>3456</v>
      </c>
      <c r="E102" s="39">
        <v>30</v>
      </c>
      <c r="F102" s="37">
        <v>0</v>
      </c>
      <c r="G102" s="37">
        <v>0</v>
      </c>
      <c r="H102" s="38">
        <v>17977500</v>
      </c>
      <c r="I102" s="39">
        <v>17977500</v>
      </c>
      <c r="J102" s="38">
        <v>880100</v>
      </c>
      <c r="K102" s="39">
        <v>18857600</v>
      </c>
      <c r="L102" s="39">
        <v>7543040</v>
      </c>
      <c r="M102" s="39"/>
      <c r="N102" s="39"/>
      <c r="O102" s="39"/>
      <c r="P102" s="38">
        <v>17977500</v>
      </c>
      <c r="Q102" s="39">
        <v>0</v>
      </c>
      <c r="R102" s="39">
        <v>0</v>
      </c>
      <c r="S102" s="40"/>
      <c r="T102" s="38">
        <v>0</v>
      </c>
      <c r="U102" s="40"/>
      <c r="V102" s="40">
        <v>719100</v>
      </c>
      <c r="W102" s="42"/>
      <c r="X102" s="40"/>
      <c r="Y102" s="40">
        <v>719100</v>
      </c>
      <c r="Z102" s="42"/>
      <c r="AA102" s="40"/>
      <c r="AB102" s="40"/>
      <c r="AC102" s="40">
        <v>179800</v>
      </c>
      <c r="AD102" s="42"/>
      <c r="AF102">
        <f>VLOOKUP(A102,Devengos!$A$4:$I$389,9,0)</f>
        <v>17977500</v>
      </c>
      <c r="AG102">
        <f t="shared" si="94"/>
        <v>17977500</v>
      </c>
      <c r="AH102">
        <f>IFERROR(VLOOKUP(B102,'Planilla Mes anterior'!$CX:$CY,2,0),0)</f>
        <v>17977500</v>
      </c>
      <c r="AJ102" s="95">
        <v>0</v>
      </c>
    </row>
    <row r="103" spans="1:36" x14ac:dyDescent="0.3">
      <c r="A103" s="81">
        <v>80126016</v>
      </c>
      <c r="B103" s="5">
        <v>1140880066</v>
      </c>
      <c r="C103" s="36" t="s">
        <v>3400</v>
      </c>
      <c r="D103" s="36" t="s">
        <v>3456</v>
      </c>
      <c r="E103" s="39">
        <v>30</v>
      </c>
      <c r="F103" s="37">
        <v>0</v>
      </c>
      <c r="G103" s="37">
        <v>0</v>
      </c>
      <c r="H103" s="38">
        <v>12305000</v>
      </c>
      <c r="I103" s="39">
        <v>12305000</v>
      </c>
      <c r="J103" s="38">
        <v>823500</v>
      </c>
      <c r="K103" s="39">
        <v>13128500</v>
      </c>
      <c r="L103" s="39">
        <v>5251400</v>
      </c>
      <c r="M103" s="39"/>
      <c r="N103" s="39"/>
      <c r="O103" s="39"/>
      <c r="P103" s="38">
        <v>12305000</v>
      </c>
      <c r="Q103" s="39">
        <v>0</v>
      </c>
      <c r="R103" s="39">
        <v>0</v>
      </c>
      <c r="S103" s="40"/>
      <c r="T103" s="38">
        <v>0</v>
      </c>
      <c r="U103" s="40"/>
      <c r="V103" s="40">
        <v>492200</v>
      </c>
      <c r="W103" s="42"/>
      <c r="X103" s="40"/>
      <c r="Y103" s="40">
        <v>492200</v>
      </c>
      <c r="Z103" s="42"/>
      <c r="AA103" s="40"/>
      <c r="AB103" s="40"/>
      <c r="AC103" s="40">
        <v>123200</v>
      </c>
      <c r="AD103" s="42"/>
      <c r="AF103">
        <f>VLOOKUP(A103,Devengos!$A$4:$I$389,9,0)</f>
        <v>12305000</v>
      </c>
      <c r="AG103">
        <f t="shared" si="94"/>
        <v>12305000</v>
      </c>
      <c r="AH103">
        <f>IFERROR(VLOOKUP(B103,'Planilla Mes anterior'!$CX:$CY,2,0),0)</f>
        <v>12305000</v>
      </c>
      <c r="AJ103" s="95">
        <v>0</v>
      </c>
    </row>
    <row r="104" spans="1:36" x14ac:dyDescent="0.3">
      <c r="A104" s="81">
        <v>80126210</v>
      </c>
      <c r="B104" s="5">
        <v>1036966767.0000001</v>
      </c>
      <c r="C104" s="36" t="s">
        <v>4248</v>
      </c>
      <c r="D104" s="36" t="s">
        <v>3456</v>
      </c>
      <c r="E104" s="39">
        <v>30</v>
      </c>
      <c r="F104" s="37">
        <v>0</v>
      </c>
      <c r="G104" s="37">
        <v>0</v>
      </c>
      <c r="H104" s="38">
        <v>2550000</v>
      </c>
      <c r="I104" s="39">
        <v>2550000</v>
      </c>
      <c r="J104" s="38">
        <v>525200</v>
      </c>
      <c r="K104" s="39">
        <v>3075200</v>
      </c>
      <c r="L104" s="39">
        <v>1230080</v>
      </c>
      <c r="M104" s="39"/>
      <c r="N104" s="39"/>
      <c r="O104" s="39"/>
      <c r="P104" s="38">
        <v>2295000</v>
      </c>
      <c r="Q104" s="39">
        <v>0</v>
      </c>
      <c r="R104" s="39">
        <v>0</v>
      </c>
      <c r="S104" s="40"/>
      <c r="T104" s="38">
        <v>0</v>
      </c>
      <c r="U104" s="40"/>
      <c r="V104" s="40">
        <v>102000</v>
      </c>
      <c r="W104" s="42"/>
      <c r="X104" s="40"/>
      <c r="Y104" s="40">
        <v>102000</v>
      </c>
      <c r="Z104" s="42"/>
      <c r="AA104" s="40"/>
      <c r="AB104" s="40"/>
      <c r="AC104" s="40">
        <v>0</v>
      </c>
      <c r="AD104" s="42"/>
      <c r="AF104">
        <f>VLOOKUP(A104,Devengos!$A$4:$I$389,9,0)</f>
        <v>2550000</v>
      </c>
      <c r="AG104">
        <f t="shared" si="94"/>
        <v>2550000</v>
      </c>
      <c r="AH104">
        <f>IFERROR(VLOOKUP(B104,'Planilla Mes anterior'!$CX:$CY,2,0),0)</f>
        <v>2295000</v>
      </c>
      <c r="AJ104" s="95">
        <v>0</v>
      </c>
    </row>
    <row r="105" spans="1:36" x14ac:dyDescent="0.3">
      <c r="A105" s="81">
        <v>80126630</v>
      </c>
      <c r="B105" s="5">
        <v>1019148431.0000001</v>
      </c>
      <c r="C105" s="36" t="s">
        <v>4064</v>
      </c>
      <c r="D105" s="36" t="s">
        <v>3456</v>
      </c>
      <c r="E105" s="39">
        <v>30</v>
      </c>
      <c r="F105" s="37">
        <v>0</v>
      </c>
      <c r="G105" s="37">
        <v>0</v>
      </c>
      <c r="H105" s="38">
        <v>4000000</v>
      </c>
      <c r="I105" s="39">
        <v>4000000</v>
      </c>
      <c r="J105" s="38">
        <v>700300</v>
      </c>
      <c r="K105" s="39">
        <v>4700300</v>
      </c>
      <c r="L105" s="39">
        <v>1880120</v>
      </c>
      <c r="M105" s="39"/>
      <c r="N105" s="39"/>
      <c r="O105" s="39"/>
      <c r="P105" s="38">
        <v>4327273</v>
      </c>
      <c r="Q105" s="39">
        <v>0</v>
      </c>
      <c r="R105" s="39">
        <v>0</v>
      </c>
      <c r="S105" s="40"/>
      <c r="T105" s="38">
        <v>0</v>
      </c>
      <c r="U105" s="40"/>
      <c r="V105" s="40">
        <v>160000</v>
      </c>
      <c r="W105" s="42"/>
      <c r="X105" s="40"/>
      <c r="Y105" s="40">
        <v>160000</v>
      </c>
      <c r="Z105" s="42"/>
      <c r="AA105" s="40"/>
      <c r="AB105" s="40"/>
      <c r="AC105" s="40">
        <v>0</v>
      </c>
      <c r="AD105" s="42"/>
      <c r="AF105">
        <f>VLOOKUP(A105,Devengos!$A$4:$I$389,9,0)</f>
        <v>4000000</v>
      </c>
      <c r="AG105">
        <f t="shared" si="94"/>
        <v>4000000</v>
      </c>
      <c r="AH105">
        <f>IFERROR(VLOOKUP(B105,'Planilla Mes anterior'!$CX:$CY,2,0),0)</f>
        <v>4327273</v>
      </c>
      <c r="AJ105" s="95">
        <v>0</v>
      </c>
    </row>
    <row r="106" spans="1:36" x14ac:dyDescent="0.3">
      <c r="A106" s="81">
        <v>80127991</v>
      </c>
      <c r="B106" s="5">
        <v>1014262008</v>
      </c>
      <c r="C106" s="36" t="s">
        <v>4070</v>
      </c>
      <c r="D106" s="36" t="s">
        <v>3344</v>
      </c>
      <c r="E106" s="39">
        <v>33</v>
      </c>
      <c r="F106" s="37">
        <v>0</v>
      </c>
      <c r="G106" s="37">
        <v>1</v>
      </c>
      <c r="H106" s="38">
        <v>22761766</v>
      </c>
      <c r="I106" s="39">
        <v>15933236</v>
      </c>
      <c r="J106" s="38">
        <v>859700</v>
      </c>
      <c r="K106" s="39">
        <v>23621466</v>
      </c>
      <c r="L106" s="39">
        <v>9448586</v>
      </c>
      <c r="M106" s="39"/>
      <c r="N106" s="39"/>
      <c r="O106" s="39"/>
      <c r="P106" s="38">
        <v>15933236</v>
      </c>
      <c r="Q106" s="39">
        <v>0</v>
      </c>
      <c r="R106" s="39">
        <v>0</v>
      </c>
      <c r="S106" s="40"/>
      <c r="T106" s="38"/>
      <c r="U106" s="40"/>
      <c r="V106" s="40">
        <v>637329</v>
      </c>
      <c r="W106" s="42"/>
      <c r="X106" s="40"/>
      <c r="Y106" s="40">
        <v>637329</v>
      </c>
      <c r="Z106" s="42"/>
      <c r="AA106" s="40"/>
      <c r="AB106" s="40"/>
      <c r="AC106" s="40">
        <v>159400</v>
      </c>
      <c r="AD106" s="42"/>
      <c r="AF106">
        <f>VLOOKUP(A106,Devengos!$A$4:$I$389,9,0)</f>
        <v>22761765</v>
      </c>
      <c r="AG106">
        <f t="shared" si="94"/>
        <v>15933236</v>
      </c>
      <c r="AH106">
        <f>IFERROR(VLOOKUP(B106,'Planilla Mes anterior'!$CX:$CY,2,0),0)</f>
        <v>15933236</v>
      </c>
      <c r="AJ106" s="95">
        <v>0</v>
      </c>
    </row>
    <row r="107" spans="1:36" x14ac:dyDescent="0.3">
      <c r="A107" s="81">
        <v>90700092</v>
      </c>
      <c r="B107" s="5">
        <v>3396252</v>
      </c>
      <c r="C107" s="36" t="s">
        <v>1283</v>
      </c>
      <c r="D107" s="36" t="s">
        <v>3344</v>
      </c>
      <c r="E107" s="39">
        <v>30</v>
      </c>
      <c r="F107" s="37">
        <v>0</v>
      </c>
      <c r="G107" s="37">
        <v>0</v>
      </c>
      <c r="H107" s="38">
        <v>22761765</v>
      </c>
      <c r="I107" s="39">
        <v>15933235</v>
      </c>
      <c r="J107" s="38">
        <v>859700</v>
      </c>
      <c r="K107" s="39">
        <v>23621465</v>
      </c>
      <c r="L107" s="39">
        <v>9448586</v>
      </c>
      <c r="M107" s="39"/>
      <c r="N107" s="39"/>
      <c r="O107" s="39"/>
      <c r="P107" s="38">
        <v>15933236</v>
      </c>
      <c r="Q107" s="39">
        <v>0</v>
      </c>
      <c r="R107" s="39">
        <v>0</v>
      </c>
      <c r="S107" s="40"/>
      <c r="T107" s="38"/>
      <c r="U107" s="40"/>
      <c r="V107" s="40">
        <v>637329</v>
      </c>
      <c r="W107" s="42"/>
      <c r="X107" s="40"/>
      <c r="Y107" s="40">
        <v>637329</v>
      </c>
      <c r="Z107" s="42"/>
      <c r="AA107" s="40"/>
      <c r="AB107" s="40"/>
      <c r="AC107" s="40">
        <v>159400</v>
      </c>
      <c r="AD107" s="42"/>
      <c r="AF107">
        <f>VLOOKUP(A107,Devengos!$A$4:$I$389,9,0)</f>
        <v>22761765</v>
      </c>
      <c r="AG107">
        <f t="shared" si="94"/>
        <v>15933236</v>
      </c>
      <c r="AH107">
        <f>IFERROR(VLOOKUP(B107,'Planilla Mes anterior'!$CX:$CY,2,0),0)</f>
        <v>15933236</v>
      </c>
      <c r="AJ107" s="95">
        <v>0</v>
      </c>
    </row>
    <row r="108" spans="1:36" x14ac:dyDescent="0.3">
      <c r="A108" s="81">
        <v>90700464</v>
      </c>
      <c r="B108" s="5">
        <v>1020800676</v>
      </c>
      <c r="C108" s="36" t="s">
        <v>1288</v>
      </c>
      <c r="D108" s="36" t="s">
        <v>3456</v>
      </c>
      <c r="E108" s="39">
        <v>30</v>
      </c>
      <c r="F108" s="37">
        <v>0</v>
      </c>
      <c r="G108" s="37">
        <v>0</v>
      </c>
      <c r="H108" s="38">
        <v>12600714</v>
      </c>
      <c r="I108" s="39">
        <v>12600714</v>
      </c>
      <c r="J108" s="38">
        <v>826500</v>
      </c>
      <c r="K108" s="39">
        <v>13427214</v>
      </c>
      <c r="L108" s="39">
        <v>5370886</v>
      </c>
      <c r="M108" s="39"/>
      <c r="N108" s="39"/>
      <c r="O108" s="39"/>
      <c r="P108" s="38">
        <v>12600714</v>
      </c>
      <c r="Q108" s="39">
        <v>0</v>
      </c>
      <c r="R108" s="39">
        <v>0</v>
      </c>
      <c r="S108" s="40"/>
      <c r="T108" s="38">
        <v>0</v>
      </c>
      <c r="U108" s="40"/>
      <c r="V108" s="40">
        <v>504029</v>
      </c>
      <c r="W108" s="42"/>
      <c r="X108" s="40"/>
      <c r="Y108" s="40">
        <v>504029</v>
      </c>
      <c r="Z108" s="42"/>
      <c r="AA108" s="40"/>
      <c r="AB108" s="40"/>
      <c r="AC108" s="40">
        <v>126200</v>
      </c>
      <c r="AD108" s="42"/>
      <c r="AF108">
        <f>VLOOKUP(A108,Devengos!$A$4:$I$389,9,0)</f>
        <v>12600714</v>
      </c>
      <c r="AG108">
        <f t="shared" si="94"/>
        <v>12600714</v>
      </c>
      <c r="AH108">
        <f>IFERROR(VLOOKUP(B108,'Planilla Mes anterior'!$CX:$CY,2,0),0)</f>
        <v>12600714</v>
      </c>
      <c r="AJ108" s="95">
        <v>0</v>
      </c>
    </row>
    <row r="109" spans="1:36" x14ac:dyDescent="0.3">
      <c r="A109" s="81">
        <v>90700779</v>
      </c>
      <c r="B109" s="5">
        <v>65501562</v>
      </c>
      <c r="C109" s="36" t="s">
        <v>1294</v>
      </c>
      <c r="D109" s="36" t="s">
        <v>3456</v>
      </c>
      <c r="E109" s="39">
        <v>30</v>
      </c>
      <c r="F109" s="37">
        <v>0</v>
      </c>
      <c r="G109" s="37">
        <v>0</v>
      </c>
      <c r="H109" s="38">
        <v>6295608</v>
      </c>
      <c r="I109" s="39">
        <v>6295608</v>
      </c>
      <c r="J109" s="38">
        <v>1363696</v>
      </c>
      <c r="K109" s="39">
        <v>7659304</v>
      </c>
      <c r="L109" s="39">
        <v>3063722</v>
      </c>
      <c r="M109" s="39"/>
      <c r="N109" s="39"/>
      <c r="O109" s="39"/>
      <c r="P109" s="38">
        <v>6295608</v>
      </c>
      <c r="Q109" s="39">
        <v>0</v>
      </c>
      <c r="R109" s="39">
        <v>0</v>
      </c>
      <c r="S109" s="40"/>
      <c r="T109" s="38">
        <v>0</v>
      </c>
      <c r="U109" s="40"/>
      <c r="V109" s="40">
        <v>251824</v>
      </c>
      <c r="W109" s="42"/>
      <c r="X109" s="40"/>
      <c r="Y109" s="40">
        <v>251824</v>
      </c>
      <c r="Z109" s="42"/>
      <c r="AA109" s="40"/>
      <c r="AB109" s="40"/>
      <c r="AC109" s="40">
        <v>0</v>
      </c>
      <c r="AD109" s="42"/>
      <c r="AF109">
        <f>VLOOKUP(A109,Devengos!$A$4:$I$389,9,0)</f>
        <v>6295608</v>
      </c>
      <c r="AG109">
        <f t="shared" si="94"/>
        <v>6295608</v>
      </c>
      <c r="AH109">
        <f>IFERROR(VLOOKUP(B109,'Planilla Mes anterior'!$CX:$CY,2,0),0)</f>
        <v>6295608</v>
      </c>
      <c r="AJ109" s="95">
        <v>0</v>
      </c>
    </row>
    <row r="110" spans="1:36" x14ac:dyDescent="0.3">
      <c r="A110" s="81">
        <v>90700780</v>
      </c>
      <c r="B110" s="5">
        <v>1127941512</v>
      </c>
      <c r="C110" s="36" t="s">
        <v>1299</v>
      </c>
      <c r="D110" s="36" t="s">
        <v>3456</v>
      </c>
      <c r="E110" s="39">
        <v>30</v>
      </c>
      <c r="F110" s="37">
        <v>0</v>
      </c>
      <c r="G110" s="37">
        <v>0</v>
      </c>
      <c r="H110" s="38">
        <v>11406935</v>
      </c>
      <c r="I110" s="39">
        <v>11406935</v>
      </c>
      <c r="J110" s="38">
        <v>814500</v>
      </c>
      <c r="K110" s="39">
        <v>12221435</v>
      </c>
      <c r="L110" s="39">
        <v>4888574</v>
      </c>
      <c r="M110" s="39"/>
      <c r="N110" s="39"/>
      <c r="O110" s="39"/>
      <c r="P110" s="38">
        <v>11406935</v>
      </c>
      <c r="Q110" s="39">
        <v>0</v>
      </c>
      <c r="R110" s="39">
        <v>0</v>
      </c>
      <c r="S110" s="40"/>
      <c r="T110" s="38">
        <v>0</v>
      </c>
      <c r="U110" s="40"/>
      <c r="V110" s="40">
        <v>456277</v>
      </c>
      <c r="W110" s="42"/>
      <c r="X110" s="40"/>
      <c r="Y110" s="40">
        <v>456277</v>
      </c>
      <c r="Z110" s="42"/>
      <c r="AA110" s="40"/>
      <c r="AB110" s="40"/>
      <c r="AC110" s="40">
        <v>114200</v>
      </c>
      <c r="AD110" s="42"/>
      <c r="AF110">
        <f>VLOOKUP(A110,Devengos!$A$4:$I$389,9,0)</f>
        <v>11406935</v>
      </c>
      <c r="AG110">
        <f t="shared" si="94"/>
        <v>11406935</v>
      </c>
      <c r="AH110">
        <f>IFERROR(VLOOKUP(B110,'Planilla Mes anterior'!$CX:$CY,2,0),0)</f>
        <v>11406935</v>
      </c>
      <c r="AJ110" s="95">
        <v>0</v>
      </c>
    </row>
    <row r="111" spans="1:36" x14ac:dyDescent="0.3">
      <c r="A111" s="81">
        <v>90700783</v>
      </c>
      <c r="B111" s="5">
        <v>1010206324.9999999</v>
      </c>
      <c r="C111" s="36" t="s">
        <v>1305</v>
      </c>
      <c r="D111" s="36" t="s">
        <v>3456</v>
      </c>
      <c r="E111" s="39">
        <v>30</v>
      </c>
      <c r="F111" s="37">
        <v>0</v>
      </c>
      <c r="G111" s="37">
        <v>0</v>
      </c>
      <c r="H111" s="38">
        <v>15218488</v>
      </c>
      <c r="I111" s="39">
        <v>15218488</v>
      </c>
      <c r="J111" s="38">
        <v>852500</v>
      </c>
      <c r="K111" s="39">
        <v>16070988</v>
      </c>
      <c r="L111" s="39">
        <v>6428395</v>
      </c>
      <c r="M111" s="39"/>
      <c r="N111" s="39"/>
      <c r="O111" s="39"/>
      <c r="P111" s="38">
        <v>15283625</v>
      </c>
      <c r="Q111" s="39">
        <v>0</v>
      </c>
      <c r="R111" s="39">
        <v>0</v>
      </c>
      <c r="S111" s="40"/>
      <c r="T111" s="38">
        <v>0</v>
      </c>
      <c r="U111" s="40"/>
      <c r="V111" s="40">
        <v>608740</v>
      </c>
      <c r="W111" s="42"/>
      <c r="X111" s="40"/>
      <c r="Y111" s="40">
        <v>608740</v>
      </c>
      <c r="Z111" s="42"/>
      <c r="AA111" s="40"/>
      <c r="AB111" s="40"/>
      <c r="AC111" s="40">
        <v>152200</v>
      </c>
      <c r="AD111" s="42"/>
      <c r="AF111">
        <f>VLOOKUP(A111,Devengos!$A$4:$I$389,9,0)</f>
        <v>10422000</v>
      </c>
      <c r="AG111">
        <f t="shared" si="94"/>
        <v>10422000</v>
      </c>
      <c r="AH111">
        <f>IFERROR(VLOOKUP(B111,'Planilla Mes anterior'!$CX:$CY,2,0),0)</f>
        <v>15283625</v>
      </c>
      <c r="AJ111" s="95">
        <v>0</v>
      </c>
    </row>
    <row r="112" spans="1:36" x14ac:dyDescent="0.3">
      <c r="A112" s="81">
        <v>90701227</v>
      </c>
      <c r="B112" s="5">
        <v>80168904</v>
      </c>
      <c r="C112" s="36" t="s">
        <v>1311</v>
      </c>
      <c r="D112" s="36" t="s">
        <v>3456</v>
      </c>
      <c r="E112" s="39">
        <v>30</v>
      </c>
      <c r="F112" s="37">
        <v>2</v>
      </c>
      <c r="G112" s="37">
        <v>0</v>
      </c>
      <c r="H112" s="38">
        <v>7387350</v>
      </c>
      <c r="I112" s="39">
        <v>7387350</v>
      </c>
      <c r="J112" s="38">
        <v>779700</v>
      </c>
      <c r="K112" s="39">
        <v>8167050</v>
      </c>
      <c r="L112" s="39">
        <v>3266820</v>
      </c>
      <c r="M112" s="39"/>
      <c r="N112" s="39"/>
      <c r="O112" s="39"/>
      <c r="P112" s="38">
        <v>7915018</v>
      </c>
      <c r="Q112" s="39">
        <v>527668</v>
      </c>
      <c r="R112" s="39">
        <v>0</v>
      </c>
      <c r="S112" s="40"/>
      <c r="T112" s="38">
        <v>0</v>
      </c>
      <c r="U112" s="40"/>
      <c r="V112" s="40">
        <v>316601</v>
      </c>
      <c r="W112" s="42"/>
      <c r="X112" s="40"/>
      <c r="Y112" s="40">
        <v>316601</v>
      </c>
      <c r="Z112" s="42"/>
      <c r="AA112" s="40"/>
      <c r="AB112" s="40"/>
      <c r="AC112" s="40">
        <v>79400</v>
      </c>
      <c r="AD112" s="42"/>
      <c r="AF112">
        <f>VLOOKUP(A112,Devengos!$A$4:$I$389,9,0)</f>
        <v>7915018</v>
      </c>
      <c r="AG112">
        <f t="shared" si="94"/>
        <v>7915018</v>
      </c>
      <c r="AH112">
        <f>IFERROR(VLOOKUP(B112,'Planilla Mes anterior'!$CX:$CY,2,0),0)</f>
        <v>7915018</v>
      </c>
      <c r="AJ112" s="95">
        <v>0</v>
      </c>
    </row>
    <row r="113" spans="1:36" x14ac:dyDescent="0.3">
      <c r="A113" s="81">
        <v>90701229</v>
      </c>
      <c r="B113" s="5">
        <v>71267830</v>
      </c>
      <c r="C113" s="36" t="s">
        <v>1315</v>
      </c>
      <c r="D113" s="36" t="s">
        <v>3344</v>
      </c>
      <c r="E113" s="39">
        <v>31</v>
      </c>
      <c r="F113" s="37">
        <v>6</v>
      </c>
      <c r="G113" s="37">
        <v>0</v>
      </c>
      <c r="H113" s="38">
        <v>31047809</v>
      </c>
      <c r="I113" s="39">
        <v>21733466</v>
      </c>
      <c r="J113" s="38">
        <v>951900</v>
      </c>
      <c r="K113" s="39">
        <v>31999709</v>
      </c>
      <c r="L113" s="39">
        <v>12799884</v>
      </c>
      <c r="M113" s="39"/>
      <c r="N113" s="39"/>
      <c r="O113" s="39"/>
      <c r="P113" s="38">
        <v>16990648</v>
      </c>
      <c r="Q113" s="39">
        <v>3398130</v>
      </c>
      <c r="R113" s="39">
        <v>0</v>
      </c>
      <c r="S113" s="40"/>
      <c r="T113" s="38"/>
      <c r="U113" s="40"/>
      <c r="V113" s="40">
        <v>1005264</v>
      </c>
      <c r="W113" s="42"/>
      <c r="X113" s="40"/>
      <c r="Y113" s="40">
        <v>1005264</v>
      </c>
      <c r="Z113" s="42"/>
      <c r="AA113" s="40"/>
      <c r="AB113" s="40"/>
      <c r="AC113" s="40">
        <v>251600</v>
      </c>
      <c r="AD113" s="42"/>
      <c r="AF113">
        <f>VLOOKUP(A113,Devengos!$A$4:$I$389,9,0)</f>
        <v>24272353</v>
      </c>
      <c r="AG113">
        <f t="shared" si="94"/>
        <v>16990647</v>
      </c>
      <c r="AH113">
        <f>IFERROR(VLOOKUP(B113,'Planilla Mes anterior'!$CX:$CY,2,0),0)</f>
        <v>16990648</v>
      </c>
      <c r="AJ113" s="95">
        <v>0</v>
      </c>
    </row>
    <row r="114" spans="1:36" x14ac:dyDescent="0.3">
      <c r="A114" s="81">
        <v>90701230</v>
      </c>
      <c r="B114" s="5">
        <v>1053779582</v>
      </c>
      <c r="C114" s="36" t="s">
        <v>1320</v>
      </c>
      <c r="D114" s="36" t="s">
        <v>3344</v>
      </c>
      <c r="E114" s="39">
        <v>30</v>
      </c>
      <c r="F114" s="37">
        <v>0</v>
      </c>
      <c r="G114" s="37">
        <v>0</v>
      </c>
      <c r="H114" s="38">
        <v>22761765</v>
      </c>
      <c r="I114" s="39">
        <v>15933235</v>
      </c>
      <c r="J114" s="38">
        <v>859700</v>
      </c>
      <c r="K114" s="39">
        <v>23621465</v>
      </c>
      <c r="L114" s="39">
        <v>9448586</v>
      </c>
      <c r="M114" s="39"/>
      <c r="N114" s="39"/>
      <c r="O114" s="39"/>
      <c r="P114" s="38">
        <v>15933236</v>
      </c>
      <c r="Q114" s="39">
        <v>0</v>
      </c>
      <c r="R114" s="39">
        <v>0</v>
      </c>
      <c r="S114" s="40"/>
      <c r="T114" s="38"/>
      <c r="U114" s="40"/>
      <c r="V114" s="40">
        <v>637329</v>
      </c>
      <c r="W114" s="42"/>
      <c r="X114" s="40"/>
      <c r="Y114" s="40">
        <v>637329</v>
      </c>
      <c r="Z114" s="42"/>
      <c r="AA114" s="40"/>
      <c r="AB114" s="40"/>
      <c r="AC114" s="40">
        <v>159400</v>
      </c>
      <c r="AD114" s="42"/>
      <c r="AF114">
        <f>VLOOKUP(A114,Devengos!$A$4:$I$389,9,0)</f>
        <v>22761765</v>
      </c>
      <c r="AG114">
        <f t="shared" si="94"/>
        <v>15933236</v>
      </c>
      <c r="AH114">
        <f>IFERROR(VLOOKUP(B114,'Planilla Mes anterior'!$CX:$CY,2,0),0)</f>
        <v>15933236</v>
      </c>
      <c r="AJ114" s="95">
        <v>0</v>
      </c>
    </row>
    <row r="115" spans="1:36" x14ac:dyDescent="0.3">
      <c r="A115" s="81">
        <v>90701307</v>
      </c>
      <c r="B115" s="5">
        <v>1152684974</v>
      </c>
      <c r="C115" s="36" t="s">
        <v>1326</v>
      </c>
      <c r="D115" s="36" t="s">
        <v>3456</v>
      </c>
      <c r="E115" s="39">
        <v>30</v>
      </c>
      <c r="F115" s="37">
        <v>3</v>
      </c>
      <c r="G115" s="37">
        <v>0</v>
      </c>
      <c r="H115" s="38">
        <v>10889268</v>
      </c>
      <c r="I115" s="39">
        <v>10889268</v>
      </c>
      <c r="J115" s="38">
        <v>821100</v>
      </c>
      <c r="K115" s="39">
        <v>11710368</v>
      </c>
      <c r="L115" s="39">
        <v>4684147</v>
      </c>
      <c r="M115" s="39"/>
      <c r="N115" s="39"/>
      <c r="O115" s="39"/>
      <c r="P115" s="38">
        <v>11728955</v>
      </c>
      <c r="Q115" s="39">
        <v>1172896</v>
      </c>
      <c r="R115" s="39">
        <v>0</v>
      </c>
      <c r="S115" s="40"/>
      <c r="T115" s="38">
        <v>0</v>
      </c>
      <c r="U115" s="40"/>
      <c r="V115" s="40">
        <v>482487</v>
      </c>
      <c r="W115" s="42"/>
      <c r="X115" s="40"/>
      <c r="Y115" s="40">
        <v>482487</v>
      </c>
      <c r="Z115" s="42"/>
      <c r="AA115" s="40"/>
      <c r="AB115" s="40"/>
      <c r="AC115" s="40">
        <v>120800</v>
      </c>
      <c r="AD115" s="42"/>
      <c r="AF115">
        <f>VLOOKUP(A115,Devengos!$A$4:$I$389,9,0)</f>
        <v>11728955</v>
      </c>
      <c r="AG115">
        <f t="shared" si="94"/>
        <v>11728955</v>
      </c>
      <c r="AH115">
        <f>IFERROR(VLOOKUP(B115,'Planilla Mes anterior'!$CX:$CY,2,0),0)</f>
        <v>11728955</v>
      </c>
      <c r="AJ115" s="95">
        <v>0</v>
      </c>
    </row>
    <row r="116" spans="1:36" x14ac:dyDescent="0.3">
      <c r="A116" s="81">
        <v>90701309</v>
      </c>
      <c r="B116" s="5">
        <v>1024535632</v>
      </c>
      <c r="C116" s="36" t="s">
        <v>1331</v>
      </c>
      <c r="D116" s="36" t="s">
        <v>3456</v>
      </c>
      <c r="E116" s="39">
        <v>32</v>
      </c>
      <c r="F116" s="37">
        <v>0</v>
      </c>
      <c r="G116" s="37">
        <v>0</v>
      </c>
      <c r="H116" s="38">
        <v>6811266</v>
      </c>
      <c r="I116" s="39">
        <v>6811266</v>
      </c>
      <c r="J116" s="38">
        <v>700300</v>
      </c>
      <c r="K116" s="39">
        <v>7511566</v>
      </c>
      <c r="L116" s="39">
        <v>3004626</v>
      </c>
      <c r="M116" s="39"/>
      <c r="N116" s="39"/>
      <c r="O116" s="39"/>
      <c r="P116" s="38">
        <v>5574395</v>
      </c>
      <c r="Q116" s="39">
        <v>0</v>
      </c>
      <c r="R116" s="39">
        <v>0</v>
      </c>
      <c r="S116" s="40"/>
      <c r="T116" s="38">
        <v>0</v>
      </c>
      <c r="U116" s="40"/>
      <c r="V116" s="40">
        <v>272451</v>
      </c>
      <c r="W116" s="42"/>
      <c r="X116" s="40"/>
      <c r="Y116" s="40">
        <v>272451</v>
      </c>
      <c r="Z116" s="42"/>
      <c r="AA116" s="40"/>
      <c r="AB116" s="40"/>
      <c r="AC116" s="40">
        <v>0</v>
      </c>
      <c r="AD116" s="42"/>
      <c r="AF116">
        <f>VLOOKUP(A116,Devengos!$A$4:$I$389,9,0)</f>
        <v>5574395</v>
      </c>
      <c r="AG116">
        <f t="shared" si="94"/>
        <v>5574395</v>
      </c>
      <c r="AH116">
        <f>IFERROR(VLOOKUP(B116,'Planilla Mes anterior'!$CX:$CY,2,0),0)</f>
        <v>5574395</v>
      </c>
      <c r="AJ116" s="95">
        <v>0</v>
      </c>
    </row>
    <row r="117" spans="1:36" x14ac:dyDescent="0.3">
      <c r="A117" s="81">
        <v>90701311</v>
      </c>
      <c r="B117" s="5">
        <v>32299723</v>
      </c>
      <c r="C117" s="36" t="s">
        <v>1335</v>
      </c>
      <c r="D117" s="36" t="s">
        <v>3344</v>
      </c>
      <c r="E117" s="39">
        <v>30</v>
      </c>
      <c r="F117" s="37">
        <v>2</v>
      </c>
      <c r="G117" s="37">
        <v>0</v>
      </c>
      <c r="H117" s="38">
        <v>21244314</v>
      </c>
      <c r="I117" s="39">
        <v>14871020</v>
      </c>
      <c r="J117" s="38">
        <v>859900</v>
      </c>
      <c r="K117" s="39">
        <v>22104214</v>
      </c>
      <c r="L117" s="39">
        <v>8841686</v>
      </c>
      <c r="M117" s="39"/>
      <c r="N117" s="39"/>
      <c r="O117" s="39"/>
      <c r="P117" s="38">
        <v>15929716</v>
      </c>
      <c r="Q117" s="39">
        <v>1061981</v>
      </c>
      <c r="R117" s="39">
        <v>0</v>
      </c>
      <c r="S117" s="40"/>
      <c r="T117" s="38"/>
      <c r="U117" s="40"/>
      <c r="V117" s="40">
        <v>637320</v>
      </c>
      <c r="W117" s="42"/>
      <c r="X117" s="40"/>
      <c r="Y117" s="40">
        <v>637320</v>
      </c>
      <c r="Z117" s="42"/>
      <c r="AA117" s="40"/>
      <c r="AB117" s="40"/>
      <c r="AC117" s="40">
        <v>159600</v>
      </c>
      <c r="AD117" s="42"/>
      <c r="AF117">
        <f>VLOOKUP(A117,Devengos!$A$4:$I$389,9,0)</f>
        <v>22761765</v>
      </c>
      <c r="AG117">
        <f t="shared" si="94"/>
        <v>15933236</v>
      </c>
      <c r="AH117">
        <f>IFERROR(VLOOKUP(B117,'Planilla Mes anterior'!$CX:$CY,2,0),0)</f>
        <v>15929716</v>
      </c>
      <c r="AJ117" s="95">
        <v>0</v>
      </c>
    </row>
    <row r="118" spans="1:36" x14ac:dyDescent="0.3">
      <c r="A118" s="81">
        <v>90701312</v>
      </c>
      <c r="B118" s="5">
        <v>1032375176.9999999</v>
      </c>
      <c r="C118" s="36" t="s">
        <v>1339</v>
      </c>
      <c r="D118" s="36" t="s">
        <v>3456</v>
      </c>
      <c r="E118" s="39">
        <v>30</v>
      </c>
      <c r="F118" s="37">
        <v>3</v>
      </c>
      <c r="G118" s="37">
        <v>0</v>
      </c>
      <c r="H118" s="38">
        <v>10811523</v>
      </c>
      <c r="I118" s="39">
        <v>10811523</v>
      </c>
      <c r="J118" s="38">
        <v>820700</v>
      </c>
      <c r="K118" s="39">
        <v>11632223</v>
      </c>
      <c r="L118" s="39">
        <v>4652889</v>
      </c>
      <c r="M118" s="39"/>
      <c r="N118" s="39"/>
      <c r="O118" s="39"/>
      <c r="P118" s="38">
        <v>12012803</v>
      </c>
      <c r="Q118" s="39">
        <v>1201280</v>
      </c>
      <c r="R118" s="39">
        <v>0</v>
      </c>
      <c r="S118" s="40"/>
      <c r="T118" s="38">
        <v>0</v>
      </c>
      <c r="U118" s="40"/>
      <c r="V118" s="40">
        <v>480512</v>
      </c>
      <c r="W118" s="42"/>
      <c r="X118" s="40"/>
      <c r="Y118" s="40">
        <v>480512</v>
      </c>
      <c r="Z118" s="42"/>
      <c r="AA118" s="40"/>
      <c r="AB118" s="40"/>
      <c r="AC118" s="40">
        <v>120400</v>
      </c>
      <c r="AD118" s="42"/>
      <c r="AF118">
        <f>VLOOKUP(A118,Devengos!$A$4:$I$389,9,0)</f>
        <v>12012803</v>
      </c>
      <c r="AG118">
        <f t="shared" si="94"/>
        <v>12012803</v>
      </c>
      <c r="AH118">
        <f>IFERROR(VLOOKUP(B118,'Planilla Mes anterior'!$CX:$CY,2,0),0)</f>
        <v>12012803</v>
      </c>
      <c r="AJ118" s="95">
        <v>0</v>
      </c>
    </row>
    <row r="119" spans="1:36" x14ac:dyDescent="0.3">
      <c r="A119" s="81">
        <v>90701313</v>
      </c>
      <c r="B119" s="5">
        <v>1098755547</v>
      </c>
      <c r="C119" s="36" t="s">
        <v>1343</v>
      </c>
      <c r="D119" s="36" t="s">
        <v>3456</v>
      </c>
      <c r="E119" s="39">
        <v>30</v>
      </c>
      <c r="F119" s="37">
        <v>0</v>
      </c>
      <c r="G119" s="37">
        <v>0</v>
      </c>
      <c r="H119" s="38">
        <v>11174186</v>
      </c>
      <c r="I119" s="39">
        <v>11174186</v>
      </c>
      <c r="J119" s="38">
        <v>812100</v>
      </c>
      <c r="K119" s="39">
        <v>11986286</v>
      </c>
      <c r="L119" s="39">
        <v>4794514</v>
      </c>
      <c r="M119" s="39"/>
      <c r="N119" s="39"/>
      <c r="O119" s="39"/>
      <c r="P119" s="38">
        <v>11174186</v>
      </c>
      <c r="Q119" s="39">
        <v>0</v>
      </c>
      <c r="R119" s="39">
        <v>0</v>
      </c>
      <c r="S119" s="40"/>
      <c r="T119" s="38">
        <v>0</v>
      </c>
      <c r="U119" s="40"/>
      <c r="V119" s="40">
        <v>446967</v>
      </c>
      <c r="W119" s="42"/>
      <c r="X119" s="40"/>
      <c r="Y119" s="40">
        <v>446967</v>
      </c>
      <c r="Z119" s="42"/>
      <c r="AA119" s="40"/>
      <c r="AB119" s="40"/>
      <c r="AC119" s="40">
        <v>111800</v>
      </c>
      <c r="AD119" s="42"/>
      <c r="AF119">
        <f>VLOOKUP(A119,Devengos!$A$4:$I$389,9,0)</f>
        <v>11174186</v>
      </c>
      <c r="AG119">
        <f t="shared" si="94"/>
        <v>11174186</v>
      </c>
      <c r="AH119">
        <f>IFERROR(VLOOKUP(B119,'Planilla Mes anterior'!$CX:$CY,2,0),0)</f>
        <v>11174186</v>
      </c>
      <c r="AJ119" s="95">
        <v>0</v>
      </c>
    </row>
    <row r="120" spans="1:36" x14ac:dyDescent="0.3">
      <c r="A120" s="81">
        <v>90701316</v>
      </c>
      <c r="B120" s="5">
        <v>1015419347.0000001</v>
      </c>
      <c r="C120" s="36" t="s">
        <v>1348</v>
      </c>
      <c r="D120" s="36" t="s">
        <v>3456</v>
      </c>
      <c r="E120" s="39">
        <v>30</v>
      </c>
      <c r="F120" s="37">
        <v>0</v>
      </c>
      <c r="G120" s="37">
        <v>0</v>
      </c>
      <c r="H120" s="38">
        <v>10218502</v>
      </c>
      <c r="I120" s="39">
        <v>10218502</v>
      </c>
      <c r="J120" s="38">
        <v>802500</v>
      </c>
      <c r="K120" s="39">
        <v>11021002</v>
      </c>
      <c r="L120" s="39">
        <v>4408401</v>
      </c>
      <c r="M120" s="39"/>
      <c r="N120" s="39"/>
      <c r="O120" s="39"/>
      <c r="P120" s="38">
        <v>10218502</v>
      </c>
      <c r="Q120" s="39">
        <v>0</v>
      </c>
      <c r="R120" s="39">
        <v>0</v>
      </c>
      <c r="S120" s="40"/>
      <c r="T120" s="38">
        <v>0</v>
      </c>
      <c r="U120" s="40"/>
      <c r="V120" s="40">
        <v>408740</v>
      </c>
      <c r="W120" s="42"/>
      <c r="X120" s="40"/>
      <c r="Y120" s="40">
        <v>408740</v>
      </c>
      <c r="Z120" s="42"/>
      <c r="AA120" s="40"/>
      <c r="AB120" s="40"/>
      <c r="AC120" s="40">
        <v>102200</v>
      </c>
      <c r="AD120" s="42"/>
      <c r="AF120">
        <f>VLOOKUP(A120,Devengos!$A$4:$I$389,9,0)</f>
        <v>9064800</v>
      </c>
      <c r="AG120">
        <f t="shared" si="94"/>
        <v>9064800</v>
      </c>
      <c r="AH120">
        <f>IFERROR(VLOOKUP(B120,'Planilla Mes anterior'!$CX:$CY,2,0),0)</f>
        <v>10218502</v>
      </c>
      <c r="AJ120" s="95">
        <v>0</v>
      </c>
    </row>
    <row r="121" spans="1:36" x14ac:dyDescent="0.3">
      <c r="A121" s="81">
        <v>90701726</v>
      </c>
      <c r="B121" s="5">
        <v>37842311</v>
      </c>
      <c r="C121" s="36" t="s">
        <v>1353</v>
      </c>
      <c r="D121" s="36" t="s">
        <v>3456</v>
      </c>
      <c r="E121" s="39">
        <v>30</v>
      </c>
      <c r="F121" s="37">
        <v>0</v>
      </c>
      <c r="G121" s="37">
        <v>0</v>
      </c>
      <c r="H121" s="38">
        <v>9536477</v>
      </c>
      <c r="I121" s="39">
        <v>9536477</v>
      </c>
      <c r="J121" s="38">
        <v>795700</v>
      </c>
      <c r="K121" s="39">
        <v>10332177</v>
      </c>
      <c r="L121" s="39">
        <v>4132871</v>
      </c>
      <c r="M121" s="39"/>
      <c r="N121" s="39"/>
      <c r="O121" s="39"/>
      <c r="P121" s="38">
        <v>9536477</v>
      </c>
      <c r="Q121" s="39">
        <v>0</v>
      </c>
      <c r="R121" s="39">
        <v>0</v>
      </c>
      <c r="S121" s="40"/>
      <c r="T121" s="38">
        <v>0</v>
      </c>
      <c r="U121" s="40"/>
      <c r="V121" s="40">
        <v>381459</v>
      </c>
      <c r="W121" s="42"/>
      <c r="X121" s="40"/>
      <c r="Y121" s="40">
        <v>381459</v>
      </c>
      <c r="Z121" s="42"/>
      <c r="AA121" s="40"/>
      <c r="AB121" s="40"/>
      <c r="AC121" s="40">
        <v>95400</v>
      </c>
      <c r="AD121" s="42"/>
      <c r="AF121">
        <f>VLOOKUP(A121,Devengos!$A$4:$I$389,9,0)</f>
        <v>9536477</v>
      </c>
      <c r="AG121">
        <f t="shared" si="94"/>
        <v>9536477</v>
      </c>
      <c r="AH121">
        <f>IFERROR(VLOOKUP(B121,'Planilla Mes anterior'!$CX:$CY,2,0),0)</f>
        <v>9536477</v>
      </c>
      <c r="AJ121" s="95">
        <v>0</v>
      </c>
    </row>
    <row r="122" spans="1:36" x14ac:dyDescent="0.3">
      <c r="A122" s="81">
        <v>90701727</v>
      </c>
      <c r="B122" s="5">
        <v>2000008964</v>
      </c>
      <c r="C122" s="36" t="s">
        <v>1357</v>
      </c>
      <c r="D122" s="36" t="s">
        <v>3344</v>
      </c>
      <c r="E122" s="39">
        <v>30</v>
      </c>
      <c r="F122" s="37">
        <v>2</v>
      </c>
      <c r="G122" s="37">
        <v>0</v>
      </c>
      <c r="H122" s="38">
        <v>25651888</v>
      </c>
      <c r="I122" s="39">
        <v>17956322</v>
      </c>
      <c r="J122" s="38">
        <v>892900</v>
      </c>
      <c r="K122" s="39">
        <v>26544788</v>
      </c>
      <c r="L122" s="39">
        <v>10617915</v>
      </c>
      <c r="M122" s="39"/>
      <c r="N122" s="39"/>
      <c r="O122" s="39"/>
      <c r="P122" s="38">
        <v>19238917</v>
      </c>
      <c r="Q122" s="39">
        <v>1282594</v>
      </c>
      <c r="R122" s="39">
        <v>0</v>
      </c>
      <c r="S122" s="40"/>
      <c r="T122" s="38"/>
      <c r="U122" s="40"/>
      <c r="V122" s="40">
        <v>769557</v>
      </c>
      <c r="W122" s="42"/>
      <c r="X122" s="40"/>
      <c r="Y122" s="40">
        <v>769557</v>
      </c>
      <c r="Z122" s="42"/>
      <c r="AA122" s="40"/>
      <c r="AB122" s="40"/>
      <c r="AC122" s="40">
        <v>192600</v>
      </c>
      <c r="AD122" s="42"/>
      <c r="AF122">
        <f>VLOOKUP(A122,Devengos!$A$4:$I$389,9,0)</f>
        <v>27484166</v>
      </c>
      <c r="AG122">
        <f t="shared" si="94"/>
        <v>19238916</v>
      </c>
      <c r="AH122">
        <f>IFERROR(VLOOKUP(B122,'Planilla Mes anterior'!$CX:$CY,2,0),0)</f>
        <v>19238917</v>
      </c>
      <c r="AJ122" s="95">
        <v>0</v>
      </c>
    </row>
    <row r="123" spans="1:36" x14ac:dyDescent="0.3">
      <c r="A123" s="81">
        <v>90701833</v>
      </c>
      <c r="B123" s="5">
        <v>1061753599.0000001</v>
      </c>
      <c r="C123" s="36" t="s">
        <v>1361</v>
      </c>
      <c r="D123" s="36" t="s">
        <v>3456</v>
      </c>
      <c r="E123" s="39">
        <v>30</v>
      </c>
      <c r="F123" s="37">
        <v>5</v>
      </c>
      <c r="G123" s="37">
        <v>0</v>
      </c>
      <c r="H123" s="38">
        <v>6630499</v>
      </c>
      <c r="I123" s="39">
        <v>6630499</v>
      </c>
      <c r="J123" s="38">
        <v>780100</v>
      </c>
      <c r="K123" s="39">
        <v>7410599</v>
      </c>
      <c r="L123" s="39">
        <v>2964240</v>
      </c>
      <c r="M123" s="39"/>
      <c r="N123" s="39"/>
      <c r="O123" s="39"/>
      <c r="P123" s="38">
        <v>7956599</v>
      </c>
      <c r="Q123" s="39">
        <v>1326100</v>
      </c>
      <c r="R123" s="39">
        <v>0</v>
      </c>
      <c r="S123" s="40"/>
      <c r="T123" s="38">
        <v>0</v>
      </c>
      <c r="U123" s="40"/>
      <c r="V123" s="40">
        <v>318264</v>
      </c>
      <c r="W123" s="42"/>
      <c r="X123" s="40"/>
      <c r="Y123" s="40">
        <v>318264</v>
      </c>
      <c r="Z123" s="42"/>
      <c r="AA123" s="40"/>
      <c r="AB123" s="40"/>
      <c r="AC123" s="40">
        <v>79800</v>
      </c>
      <c r="AD123" s="42"/>
      <c r="AF123">
        <f>VLOOKUP(A123,Devengos!$A$4:$I$389,9,0)</f>
        <v>7956599</v>
      </c>
      <c r="AG123">
        <f t="shared" si="94"/>
        <v>7956599</v>
      </c>
      <c r="AH123">
        <f>IFERROR(VLOOKUP(B123,'Planilla Mes anterior'!$CX:$CY,2,0),0)</f>
        <v>7956599</v>
      </c>
      <c r="AJ123" s="95">
        <v>0</v>
      </c>
    </row>
    <row r="124" spans="1:36" x14ac:dyDescent="0.3">
      <c r="A124" s="81">
        <v>90701845</v>
      </c>
      <c r="B124" s="5">
        <v>1073238576.9999999</v>
      </c>
      <c r="C124" s="36" t="s">
        <v>1365</v>
      </c>
      <c r="D124" s="36" t="s">
        <v>3456</v>
      </c>
      <c r="E124" s="39">
        <v>30</v>
      </c>
      <c r="F124" s="37">
        <v>0</v>
      </c>
      <c r="G124" s="37">
        <v>0</v>
      </c>
      <c r="H124" s="38">
        <v>8440851</v>
      </c>
      <c r="I124" s="39">
        <v>8440851</v>
      </c>
      <c r="J124" s="38">
        <v>784900</v>
      </c>
      <c r="K124" s="39">
        <v>9225751</v>
      </c>
      <c r="L124" s="39">
        <v>3690300</v>
      </c>
      <c r="M124" s="39"/>
      <c r="N124" s="39"/>
      <c r="O124" s="39"/>
      <c r="P124" s="38">
        <v>9427761</v>
      </c>
      <c r="Q124" s="39">
        <v>0</v>
      </c>
      <c r="R124" s="39">
        <v>0</v>
      </c>
      <c r="S124" s="40"/>
      <c r="T124" s="38">
        <v>0</v>
      </c>
      <c r="U124" s="40"/>
      <c r="V124" s="40">
        <v>337634</v>
      </c>
      <c r="W124" s="42"/>
      <c r="X124" s="40"/>
      <c r="Y124" s="40">
        <v>337634</v>
      </c>
      <c r="Z124" s="42"/>
      <c r="AA124" s="40"/>
      <c r="AB124" s="40"/>
      <c r="AC124" s="40">
        <v>84600</v>
      </c>
      <c r="AD124" s="42"/>
      <c r="AF124">
        <f>VLOOKUP(A124,Devengos!$A$4:$I$389,9,0)</f>
        <v>8440851</v>
      </c>
      <c r="AG124">
        <f t="shared" si="94"/>
        <v>8440851</v>
      </c>
      <c r="AH124">
        <f>IFERROR(VLOOKUP(B124,'Planilla Mes anterior'!$CX:$CY,2,0),0)</f>
        <v>9427761</v>
      </c>
      <c r="AJ124" s="95">
        <v>0</v>
      </c>
    </row>
    <row r="125" spans="1:36" x14ac:dyDescent="0.3">
      <c r="A125" s="81">
        <v>90701846</v>
      </c>
      <c r="B125" s="5">
        <v>1020810144</v>
      </c>
      <c r="C125" s="36" t="s">
        <v>1369</v>
      </c>
      <c r="D125" s="36" t="s">
        <v>3456</v>
      </c>
      <c r="E125" s="39">
        <v>37</v>
      </c>
      <c r="F125" s="37">
        <v>0</v>
      </c>
      <c r="G125" s="37">
        <v>0</v>
      </c>
      <c r="H125" s="38">
        <v>11284648</v>
      </c>
      <c r="I125" s="39">
        <v>11284648</v>
      </c>
      <c r="J125" s="38">
        <v>813300</v>
      </c>
      <c r="K125" s="39">
        <v>12097948</v>
      </c>
      <c r="L125" s="39">
        <v>4839179</v>
      </c>
      <c r="M125" s="39"/>
      <c r="N125" s="39"/>
      <c r="O125" s="39"/>
      <c r="P125" s="38">
        <v>12270451</v>
      </c>
      <c r="Q125" s="39">
        <v>0</v>
      </c>
      <c r="R125" s="39">
        <v>0</v>
      </c>
      <c r="S125" s="40"/>
      <c r="T125" s="38">
        <v>0</v>
      </c>
      <c r="U125" s="40"/>
      <c r="V125" s="40">
        <v>451386</v>
      </c>
      <c r="W125" s="42"/>
      <c r="X125" s="40"/>
      <c r="Y125" s="40">
        <v>451386</v>
      </c>
      <c r="Z125" s="42"/>
      <c r="AA125" s="40"/>
      <c r="AB125" s="40"/>
      <c r="AC125" s="40">
        <v>113000</v>
      </c>
      <c r="AD125" s="42"/>
      <c r="AF125">
        <f>VLOOKUP(A125,Devengos!$A$4:$I$389,9,0)</f>
        <v>10054000</v>
      </c>
      <c r="AG125">
        <f t="shared" si="94"/>
        <v>10054000</v>
      </c>
      <c r="AH125">
        <f>IFERROR(VLOOKUP(B125,'Planilla Mes anterior'!$CX:$CY,2,0),0)</f>
        <v>12270451</v>
      </c>
      <c r="AJ125" s="95">
        <v>0</v>
      </c>
    </row>
    <row r="126" spans="1:36" x14ac:dyDescent="0.3">
      <c r="A126" s="81">
        <v>90701857</v>
      </c>
      <c r="B126" s="5">
        <v>1067880947.0000001</v>
      </c>
      <c r="C126" s="36" t="s">
        <v>1374</v>
      </c>
      <c r="D126" s="36" t="s">
        <v>3344</v>
      </c>
      <c r="E126" s="39">
        <v>30</v>
      </c>
      <c r="F126" s="37">
        <v>0</v>
      </c>
      <c r="G126" s="37">
        <v>0</v>
      </c>
      <c r="H126" s="38">
        <v>22761765</v>
      </c>
      <c r="I126" s="39">
        <v>15933235</v>
      </c>
      <c r="J126" s="38">
        <v>859700</v>
      </c>
      <c r="K126" s="39">
        <v>23621465</v>
      </c>
      <c r="L126" s="39">
        <v>9448586</v>
      </c>
      <c r="M126" s="39"/>
      <c r="N126" s="39"/>
      <c r="O126" s="39"/>
      <c r="P126" s="38">
        <v>22761765.714</v>
      </c>
      <c r="Q126" s="39">
        <v>0</v>
      </c>
      <c r="R126" s="39">
        <v>0</v>
      </c>
      <c r="S126" s="40"/>
      <c r="T126" s="38"/>
      <c r="U126" s="40"/>
      <c r="V126" s="40">
        <v>637329</v>
      </c>
      <c r="W126" s="42"/>
      <c r="X126" s="40"/>
      <c r="Y126" s="40">
        <v>637329</v>
      </c>
      <c r="Z126" s="42"/>
      <c r="AA126" s="40"/>
      <c r="AB126" s="40"/>
      <c r="AC126" s="40">
        <v>159400</v>
      </c>
      <c r="AD126" s="42"/>
      <c r="AF126">
        <f>VLOOKUP(A126,Devengos!$A$4:$I$389,9,0)</f>
        <v>22761765</v>
      </c>
      <c r="AG126">
        <f t="shared" si="94"/>
        <v>15933236</v>
      </c>
      <c r="AH126">
        <f>IFERROR(VLOOKUP(B126,'Planilla Mes anterior'!$CX:$CY,2,0),0)</f>
        <v>15933236</v>
      </c>
      <c r="AJ126" s="95">
        <v>0</v>
      </c>
    </row>
    <row r="127" spans="1:36" x14ac:dyDescent="0.3">
      <c r="A127" s="81">
        <v>90701858</v>
      </c>
      <c r="B127" s="5">
        <v>1075239658</v>
      </c>
      <c r="C127" s="36" t="s">
        <v>1379</v>
      </c>
      <c r="D127" s="36" t="s">
        <v>3344</v>
      </c>
      <c r="E127" s="39">
        <v>30</v>
      </c>
      <c r="F127" s="37">
        <v>0</v>
      </c>
      <c r="G127" s="37">
        <v>0</v>
      </c>
      <c r="H127" s="38">
        <v>22761765</v>
      </c>
      <c r="I127" s="39">
        <v>15933235</v>
      </c>
      <c r="J127" s="38">
        <v>859700</v>
      </c>
      <c r="K127" s="39">
        <v>23621465</v>
      </c>
      <c r="L127" s="39">
        <v>9448586</v>
      </c>
      <c r="M127" s="39"/>
      <c r="N127" s="39"/>
      <c r="O127" s="39"/>
      <c r="P127" s="38">
        <v>15933237</v>
      </c>
      <c r="Q127" s="39">
        <v>0</v>
      </c>
      <c r="R127" s="39">
        <v>0</v>
      </c>
      <c r="S127" s="40"/>
      <c r="T127" s="38"/>
      <c r="U127" s="40"/>
      <c r="V127" s="40">
        <v>637329</v>
      </c>
      <c r="W127" s="42"/>
      <c r="X127" s="40"/>
      <c r="Y127" s="40">
        <v>637329</v>
      </c>
      <c r="Z127" s="42"/>
      <c r="AA127" s="40"/>
      <c r="AB127" s="40"/>
      <c r="AC127" s="40">
        <v>159400</v>
      </c>
      <c r="AD127" s="42"/>
      <c r="AF127">
        <f>VLOOKUP(A127,Devengos!$A$4:$I$389,9,0)</f>
        <v>22761765</v>
      </c>
      <c r="AG127">
        <f t="shared" si="94"/>
        <v>15933236</v>
      </c>
      <c r="AH127">
        <f>IFERROR(VLOOKUP(B127,'Planilla Mes anterior'!$CX:$CY,2,0),0)</f>
        <v>15933237</v>
      </c>
      <c r="AJ127" s="95">
        <v>0</v>
      </c>
    </row>
    <row r="128" spans="1:36" x14ac:dyDescent="0.3">
      <c r="A128" s="81">
        <v>90701859</v>
      </c>
      <c r="B128" s="5">
        <v>1037972735.0000001</v>
      </c>
      <c r="C128" s="36" t="s">
        <v>1386</v>
      </c>
      <c r="D128" s="36" t="s">
        <v>3344</v>
      </c>
      <c r="E128" s="39">
        <v>30</v>
      </c>
      <c r="F128" s="37">
        <v>0</v>
      </c>
      <c r="G128" s="37">
        <v>0</v>
      </c>
      <c r="H128" s="38">
        <v>23725895</v>
      </c>
      <c r="I128" s="39">
        <v>16608126</v>
      </c>
      <c r="J128" s="38">
        <v>866500</v>
      </c>
      <c r="K128" s="39">
        <v>24592395</v>
      </c>
      <c r="L128" s="39">
        <v>9836958</v>
      </c>
      <c r="M128" s="39"/>
      <c r="N128" s="39"/>
      <c r="O128" s="39"/>
      <c r="P128" s="38">
        <v>16622473</v>
      </c>
      <c r="Q128" s="39">
        <v>0</v>
      </c>
      <c r="R128" s="39">
        <v>0</v>
      </c>
      <c r="S128" s="40"/>
      <c r="T128" s="38"/>
      <c r="U128" s="40"/>
      <c r="V128" s="40">
        <v>664325</v>
      </c>
      <c r="W128" s="42"/>
      <c r="X128" s="40"/>
      <c r="Y128" s="40">
        <v>664325</v>
      </c>
      <c r="Z128" s="42"/>
      <c r="AA128" s="40"/>
      <c r="AB128" s="40"/>
      <c r="AC128" s="40">
        <v>166200</v>
      </c>
      <c r="AD128" s="42"/>
      <c r="AF128">
        <f>VLOOKUP(A128,Devengos!$A$4:$I$389,9,0)</f>
        <v>23725895</v>
      </c>
      <c r="AG128">
        <f t="shared" si="94"/>
        <v>16608127</v>
      </c>
      <c r="AH128">
        <f>IFERROR(VLOOKUP(B128,'Planilla Mes anterior'!$CX:$CY,2,0),0)</f>
        <v>16622473</v>
      </c>
      <c r="AJ128" s="95">
        <v>0</v>
      </c>
    </row>
    <row r="129" spans="1:36" x14ac:dyDescent="0.3">
      <c r="A129" s="81">
        <v>90701868</v>
      </c>
      <c r="B129" s="5">
        <v>1053785006</v>
      </c>
      <c r="C129" s="36" t="s">
        <v>1391</v>
      </c>
      <c r="D129" s="36" t="s">
        <v>3456</v>
      </c>
      <c r="E129" s="39">
        <v>30</v>
      </c>
      <c r="F129" s="37">
        <v>0</v>
      </c>
      <c r="G129" s="37">
        <v>0</v>
      </c>
      <c r="H129" s="38">
        <v>13656346</v>
      </c>
      <c r="I129" s="39">
        <v>13656346</v>
      </c>
      <c r="J129" s="38">
        <v>836900</v>
      </c>
      <c r="K129" s="39">
        <v>14493246</v>
      </c>
      <c r="L129" s="39">
        <v>5797298</v>
      </c>
      <c r="M129" s="39"/>
      <c r="N129" s="39"/>
      <c r="O129" s="39"/>
      <c r="P129" s="38">
        <v>14719037</v>
      </c>
      <c r="Q129" s="39">
        <v>0</v>
      </c>
      <c r="R129" s="39">
        <v>0</v>
      </c>
      <c r="S129" s="40"/>
      <c r="T129" s="38">
        <v>0</v>
      </c>
      <c r="U129" s="40"/>
      <c r="V129" s="40">
        <v>546254</v>
      </c>
      <c r="W129" s="42"/>
      <c r="X129" s="40"/>
      <c r="Y129" s="40">
        <v>546254</v>
      </c>
      <c r="Z129" s="42"/>
      <c r="AA129" s="40"/>
      <c r="AB129" s="40"/>
      <c r="AC129" s="40">
        <v>136600</v>
      </c>
      <c r="AD129" s="42"/>
      <c r="AF129">
        <f>VLOOKUP(A129,Devengos!$A$4:$I$389,9,0)</f>
        <v>13656346</v>
      </c>
      <c r="AG129">
        <f t="shared" si="94"/>
        <v>13656346</v>
      </c>
      <c r="AH129">
        <f>IFERROR(VLOOKUP(B129,'Planilla Mes anterior'!$CX:$CY,2,0),0)</f>
        <v>14719037</v>
      </c>
      <c r="AJ129" s="95">
        <v>0</v>
      </c>
    </row>
    <row r="130" spans="1:36" x14ac:dyDescent="0.3">
      <c r="A130" s="81">
        <v>90701874</v>
      </c>
      <c r="B130" s="5">
        <v>71277757</v>
      </c>
      <c r="C130" s="36" t="s">
        <v>1395</v>
      </c>
      <c r="D130" s="36" t="s">
        <v>3344</v>
      </c>
      <c r="E130" s="39">
        <v>30</v>
      </c>
      <c r="F130" s="37">
        <v>1</v>
      </c>
      <c r="G130" s="37">
        <v>0</v>
      </c>
      <c r="H130" s="38">
        <v>24465510</v>
      </c>
      <c r="I130" s="39">
        <v>17125857</v>
      </c>
      <c r="J130" s="38">
        <v>877700</v>
      </c>
      <c r="K130" s="39">
        <v>25343210</v>
      </c>
      <c r="L130" s="39">
        <v>10137284</v>
      </c>
      <c r="M130" s="39"/>
      <c r="N130" s="39"/>
      <c r="O130" s="39"/>
      <c r="P130" s="38">
        <v>17716404</v>
      </c>
      <c r="Q130" s="39">
        <v>590547</v>
      </c>
      <c r="R130" s="39">
        <v>0</v>
      </c>
      <c r="S130" s="40"/>
      <c r="T130" s="38"/>
      <c r="U130" s="40"/>
      <c r="V130" s="40">
        <v>708656</v>
      </c>
      <c r="W130" s="42"/>
      <c r="X130" s="40"/>
      <c r="Y130" s="40">
        <v>708656</v>
      </c>
      <c r="Z130" s="42"/>
      <c r="AA130" s="40"/>
      <c r="AB130" s="40"/>
      <c r="AC130" s="40">
        <v>177400</v>
      </c>
      <c r="AD130" s="42"/>
      <c r="AF130">
        <f>VLOOKUP(A130,Devengos!$A$4:$I$389,9,0)</f>
        <v>25309148</v>
      </c>
      <c r="AG130">
        <f t="shared" si="94"/>
        <v>17716404</v>
      </c>
      <c r="AH130">
        <f>IFERROR(VLOOKUP(B130,'Planilla Mes anterior'!$CX:$CY,2,0),0)</f>
        <v>17716404</v>
      </c>
      <c r="AJ130" s="95">
        <v>0</v>
      </c>
    </row>
    <row r="131" spans="1:36" x14ac:dyDescent="0.3">
      <c r="A131" s="81">
        <v>90702257</v>
      </c>
      <c r="B131" s="5">
        <v>1075268257</v>
      </c>
      <c r="C131" s="36" t="s">
        <v>1401</v>
      </c>
      <c r="D131" s="36" t="s">
        <v>3456</v>
      </c>
      <c r="E131" s="39">
        <v>31</v>
      </c>
      <c r="F131" s="37">
        <v>0</v>
      </c>
      <c r="G131" s="37">
        <v>0</v>
      </c>
      <c r="H131" s="38">
        <v>6550476</v>
      </c>
      <c r="I131" s="39">
        <v>6550476</v>
      </c>
      <c r="J131" s="38">
        <v>700300</v>
      </c>
      <c r="K131" s="39">
        <v>7250776</v>
      </c>
      <c r="L131" s="39">
        <v>2900310</v>
      </c>
      <c r="M131" s="39"/>
      <c r="N131" s="39"/>
      <c r="O131" s="39"/>
      <c r="P131" s="38">
        <v>6268312</v>
      </c>
      <c r="Q131" s="39">
        <v>0</v>
      </c>
      <c r="R131" s="39">
        <v>0</v>
      </c>
      <c r="S131" s="40"/>
      <c r="T131" s="38">
        <v>0</v>
      </c>
      <c r="U131" s="40"/>
      <c r="V131" s="40">
        <v>262019</v>
      </c>
      <c r="W131" s="42"/>
      <c r="X131" s="40"/>
      <c r="Y131" s="40">
        <v>262019</v>
      </c>
      <c r="Z131" s="42"/>
      <c r="AA131" s="40"/>
      <c r="AB131" s="40"/>
      <c r="AC131" s="40">
        <v>0</v>
      </c>
      <c r="AD131" s="42"/>
      <c r="AF131">
        <f>VLOOKUP(A131,Devengos!$A$4:$I$389,9,0)</f>
        <v>5616527.3949999996</v>
      </c>
      <c r="AG131">
        <f t="shared" si="94"/>
        <v>5616527.3949999996</v>
      </c>
      <c r="AH131">
        <f>IFERROR(VLOOKUP(B131,'Planilla Mes anterior'!$CX:$CY,2,0),0)</f>
        <v>6268312</v>
      </c>
      <c r="AJ131" s="95">
        <v>0</v>
      </c>
    </row>
    <row r="132" spans="1:36" x14ac:dyDescent="0.3">
      <c r="A132" s="81">
        <v>90702305</v>
      </c>
      <c r="B132" s="5">
        <v>80248129</v>
      </c>
      <c r="C132" s="36" t="s">
        <v>1407</v>
      </c>
      <c r="D132" s="36" t="s">
        <v>3456</v>
      </c>
      <c r="E132" s="39">
        <v>30</v>
      </c>
      <c r="F132" s="37">
        <v>0</v>
      </c>
      <c r="G132" s="37">
        <v>0</v>
      </c>
      <c r="H132" s="38">
        <v>10589912</v>
      </c>
      <c r="I132" s="39">
        <v>10589912</v>
      </c>
      <c r="J132" s="38">
        <v>806300</v>
      </c>
      <c r="K132" s="39">
        <v>11396212</v>
      </c>
      <c r="L132" s="39">
        <v>4558485</v>
      </c>
      <c r="M132" s="39"/>
      <c r="N132" s="39"/>
      <c r="O132" s="39"/>
      <c r="P132" s="38">
        <v>9900999</v>
      </c>
      <c r="Q132" s="39">
        <v>0</v>
      </c>
      <c r="R132" s="39">
        <v>0</v>
      </c>
      <c r="S132" s="40"/>
      <c r="T132" s="38">
        <v>0</v>
      </c>
      <c r="U132" s="40"/>
      <c r="V132" s="40">
        <v>423596</v>
      </c>
      <c r="W132" s="42"/>
      <c r="X132" s="40"/>
      <c r="Y132" s="40">
        <v>423596</v>
      </c>
      <c r="Z132" s="42"/>
      <c r="AA132" s="40"/>
      <c r="AB132" s="40"/>
      <c r="AC132" s="40">
        <v>106000</v>
      </c>
      <c r="AD132" s="42"/>
      <c r="AF132">
        <f>VLOOKUP(A132,Devengos!$A$4:$I$389,9,0)</f>
        <v>9394277</v>
      </c>
      <c r="AG132">
        <f t="shared" ref="AG132:AG195" si="134">IF(D132="Integral",ROUND(AF132*70%,0),AF132)</f>
        <v>9394277</v>
      </c>
      <c r="AH132">
        <f>IFERROR(VLOOKUP(B132,'Planilla Mes anterior'!$CX:$CY,2,0),0)</f>
        <v>9900999</v>
      </c>
      <c r="AJ132" s="95">
        <v>0</v>
      </c>
    </row>
    <row r="133" spans="1:36" x14ac:dyDescent="0.3">
      <c r="A133" s="81">
        <v>90702306</v>
      </c>
      <c r="B133" s="5">
        <v>1100396254</v>
      </c>
      <c r="C133" s="36" t="s">
        <v>1411</v>
      </c>
      <c r="D133" s="36" t="s">
        <v>3456</v>
      </c>
      <c r="E133" s="39">
        <v>30</v>
      </c>
      <c r="F133" s="37">
        <v>0</v>
      </c>
      <c r="G133" s="37">
        <v>0</v>
      </c>
      <c r="H133" s="38">
        <v>7051256</v>
      </c>
      <c r="I133" s="39">
        <v>7051256</v>
      </c>
      <c r="J133" s="38">
        <v>770900</v>
      </c>
      <c r="K133" s="39">
        <v>7822156</v>
      </c>
      <c r="L133" s="39">
        <v>3128862</v>
      </c>
      <c r="M133" s="39"/>
      <c r="N133" s="39"/>
      <c r="O133" s="39"/>
      <c r="P133" s="38">
        <v>6437619</v>
      </c>
      <c r="Q133" s="39">
        <v>0</v>
      </c>
      <c r="R133" s="39">
        <v>0</v>
      </c>
      <c r="S133" s="40"/>
      <c r="T133" s="38">
        <v>0</v>
      </c>
      <c r="U133" s="40"/>
      <c r="V133" s="40">
        <v>282050</v>
      </c>
      <c r="W133" s="42"/>
      <c r="X133" s="40"/>
      <c r="Y133" s="40">
        <v>282050</v>
      </c>
      <c r="Z133" s="42"/>
      <c r="AA133" s="40"/>
      <c r="AB133" s="40"/>
      <c r="AC133" s="40">
        <v>70600</v>
      </c>
      <c r="AD133" s="42"/>
      <c r="AF133">
        <f>VLOOKUP(A133,Devengos!$A$4:$I$389,9,0)</f>
        <v>7327010</v>
      </c>
      <c r="AG133">
        <f t="shared" si="134"/>
        <v>7327010</v>
      </c>
      <c r="AH133">
        <f>IFERROR(VLOOKUP(B133,'Planilla Mes anterior'!$CX:$CY,2,0),0)</f>
        <v>6437619</v>
      </c>
      <c r="AJ133" s="95">
        <v>0</v>
      </c>
    </row>
    <row r="134" spans="1:36" x14ac:dyDescent="0.3">
      <c r="A134" s="81">
        <v>90702390</v>
      </c>
      <c r="B134" s="5">
        <v>1144201363</v>
      </c>
      <c r="C134" s="36" t="s">
        <v>1416</v>
      </c>
      <c r="D134" s="36" t="s">
        <v>3456</v>
      </c>
      <c r="E134" s="39">
        <v>30</v>
      </c>
      <c r="F134" s="37">
        <v>4</v>
      </c>
      <c r="G134" s="37">
        <v>0</v>
      </c>
      <c r="H134" s="38">
        <v>7921333</v>
      </c>
      <c r="I134" s="39">
        <v>7921333</v>
      </c>
      <c r="J134" s="38">
        <v>791900</v>
      </c>
      <c r="K134" s="39">
        <v>8713233</v>
      </c>
      <c r="L134" s="39">
        <v>3485293</v>
      </c>
      <c r="M134" s="39"/>
      <c r="N134" s="39"/>
      <c r="O134" s="39"/>
      <c r="P134" s="38">
        <v>9140000</v>
      </c>
      <c r="Q134" s="39">
        <v>1218667</v>
      </c>
      <c r="R134" s="39">
        <v>0</v>
      </c>
      <c r="S134" s="40"/>
      <c r="T134" s="38">
        <v>0</v>
      </c>
      <c r="U134" s="40"/>
      <c r="V134" s="40">
        <v>365600</v>
      </c>
      <c r="W134" s="42"/>
      <c r="X134" s="40"/>
      <c r="Y134" s="40">
        <v>365600</v>
      </c>
      <c r="Z134" s="42"/>
      <c r="AA134" s="40"/>
      <c r="AB134" s="40"/>
      <c r="AC134" s="40">
        <v>91600</v>
      </c>
      <c r="AD134" s="42"/>
      <c r="AF134">
        <f>VLOOKUP(A134,Devengos!$A$4:$I$389,9,0)</f>
        <v>9140000.0099999998</v>
      </c>
      <c r="AG134">
        <f t="shared" si="134"/>
        <v>9140000.0099999998</v>
      </c>
      <c r="AH134">
        <f>IFERROR(VLOOKUP(B134,'Planilla Mes anterior'!$CX:$CY,2,0),0)</f>
        <v>9140000</v>
      </c>
      <c r="AJ134" s="95">
        <v>0</v>
      </c>
    </row>
    <row r="135" spans="1:36" x14ac:dyDescent="0.3">
      <c r="A135" s="81">
        <v>90702391</v>
      </c>
      <c r="B135" s="5">
        <v>10308549</v>
      </c>
      <c r="C135" s="36" t="s">
        <v>1419</v>
      </c>
      <c r="D135" s="36" t="s">
        <v>3344</v>
      </c>
      <c r="E135" s="39">
        <v>30</v>
      </c>
      <c r="F135" s="37">
        <v>0</v>
      </c>
      <c r="G135" s="37">
        <v>0</v>
      </c>
      <c r="H135" s="38">
        <v>27870570</v>
      </c>
      <c r="I135" s="39">
        <v>19509399</v>
      </c>
      <c r="J135" s="38">
        <v>895500</v>
      </c>
      <c r="K135" s="39">
        <v>28766070</v>
      </c>
      <c r="L135" s="39">
        <v>11506428</v>
      </c>
      <c r="M135" s="39"/>
      <c r="N135" s="39"/>
      <c r="O135" s="39"/>
      <c r="P135" s="38">
        <v>27870570</v>
      </c>
      <c r="Q135" s="39">
        <v>0</v>
      </c>
      <c r="R135" s="39">
        <v>0</v>
      </c>
      <c r="S135" s="40"/>
      <c r="T135" s="38"/>
      <c r="U135" s="40"/>
      <c r="V135" s="40">
        <v>780376</v>
      </c>
      <c r="W135" s="42"/>
      <c r="X135" s="40"/>
      <c r="Y135" s="40">
        <v>780376</v>
      </c>
      <c r="Z135" s="42"/>
      <c r="AA135" s="40"/>
      <c r="AB135" s="40"/>
      <c r="AC135" s="40">
        <v>195200</v>
      </c>
      <c r="AD135" s="42"/>
      <c r="AF135">
        <f>VLOOKUP(A135,Devengos!$A$4:$I$389,9,0)</f>
        <v>27870570</v>
      </c>
      <c r="AG135">
        <f t="shared" si="134"/>
        <v>19509399</v>
      </c>
      <c r="AH135">
        <f>IFERROR(VLOOKUP(B135,'Planilla Mes anterior'!$CX:$CY,2,0),0)</f>
        <v>19509399</v>
      </c>
      <c r="AJ135" s="95">
        <v>0</v>
      </c>
    </row>
    <row r="136" spans="1:36" x14ac:dyDescent="0.3">
      <c r="A136" s="81">
        <v>90702396</v>
      </c>
      <c r="B136" s="5">
        <v>1046668408</v>
      </c>
      <c r="C136" s="36" t="s">
        <v>1423</v>
      </c>
      <c r="D136" s="36" t="s">
        <v>3456</v>
      </c>
      <c r="E136" s="39">
        <v>30</v>
      </c>
      <c r="F136" s="37">
        <v>0</v>
      </c>
      <c r="G136" s="37">
        <v>0</v>
      </c>
      <c r="H136" s="38">
        <v>10983060</v>
      </c>
      <c r="I136" s="39">
        <v>10983060</v>
      </c>
      <c r="J136" s="38">
        <v>810300</v>
      </c>
      <c r="K136" s="39">
        <v>11793360</v>
      </c>
      <c r="L136" s="39">
        <v>4717344</v>
      </c>
      <c r="M136" s="39"/>
      <c r="N136" s="39"/>
      <c r="O136" s="39"/>
      <c r="P136" s="38">
        <v>10983060</v>
      </c>
      <c r="Q136" s="39">
        <v>0</v>
      </c>
      <c r="R136" s="39">
        <v>0</v>
      </c>
      <c r="S136" s="40"/>
      <c r="T136" s="38">
        <v>0</v>
      </c>
      <c r="U136" s="40"/>
      <c r="V136" s="40">
        <v>439322</v>
      </c>
      <c r="W136" s="42"/>
      <c r="X136" s="40"/>
      <c r="Y136" s="40">
        <v>439322</v>
      </c>
      <c r="Z136" s="42"/>
      <c r="AA136" s="40"/>
      <c r="AB136" s="40"/>
      <c r="AC136" s="40">
        <v>110000</v>
      </c>
      <c r="AD136" s="42"/>
      <c r="AF136">
        <f>VLOOKUP(A136,Devengos!$A$4:$I$389,9,0)</f>
        <v>10983060</v>
      </c>
      <c r="AG136">
        <f t="shared" si="134"/>
        <v>10983060</v>
      </c>
      <c r="AH136">
        <f>IFERROR(VLOOKUP(B136,'Planilla Mes anterior'!$CX:$CY,2,0),0)</f>
        <v>10983060</v>
      </c>
      <c r="AJ136" s="95">
        <v>0</v>
      </c>
    </row>
    <row r="137" spans="1:36" x14ac:dyDescent="0.3">
      <c r="A137" s="81">
        <v>90702464</v>
      </c>
      <c r="B137" s="5">
        <v>1061750750</v>
      </c>
      <c r="C137" s="36" t="s">
        <v>1427</v>
      </c>
      <c r="D137" s="36" t="s">
        <v>3456</v>
      </c>
      <c r="E137" s="39">
        <v>30</v>
      </c>
      <c r="F137" s="37">
        <v>0</v>
      </c>
      <c r="G137" s="37">
        <v>0</v>
      </c>
      <c r="H137" s="38">
        <v>9713625</v>
      </c>
      <c r="I137" s="39">
        <v>9713625</v>
      </c>
      <c r="J137" s="38">
        <v>797500</v>
      </c>
      <c r="K137" s="39">
        <v>10511125</v>
      </c>
      <c r="L137" s="39">
        <v>4204450</v>
      </c>
      <c r="M137" s="39"/>
      <c r="N137" s="39"/>
      <c r="O137" s="39"/>
      <c r="P137" s="38">
        <v>9713626</v>
      </c>
      <c r="Q137" s="39">
        <v>0</v>
      </c>
      <c r="R137" s="39">
        <v>0</v>
      </c>
      <c r="S137" s="40"/>
      <c r="T137" s="38">
        <v>0</v>
      </c>
      <c r="U137" s="40"/>
      <c r="V137" s="40">
        <v>388545</v>
      </c>
      <c r="W137" s="42"/>
      <c r="X137" s="40"/>
      <c r="Y137" s="40">
        <v>388545</v>
      </c>
      <c r="Z137" s="42"/>
      <c r="AA137" s="40"/>
      <c r="AB137" s="40"/>
      <c r="AC137" s="40">
        <v>97200</v>
      </c>
      <c r="AD137" s="42"/>
      <c r="AF137">
        <f>VLOOKUP(A137,Devengos!$A$4:$I$389,9,0)</f>
        <v>9713625</v>
      </c>
      <c r="AG137">
        <f t="shared" si="134"/>
        <v>9713625</v>
      </c>
      <c r="AH137">
        <f>IFERROR(VLOOKUP(B137,'Planilla Mes anterior'!$CX:$CY,2,0),0)</f>
        <v>9713626</v>
      </c>
      <c r="AJ137" s="95">
        <v>0</v>
      </c>
    </row>
    <row r="138" spans="1:36" x14ac:dyDescent="0.3">
      <c r="A138" s="81">
        <v>90702809</v>
      </c>
      <c r="B138" s="5">
        <v>1128407650</v>
      </c>
      <c r="C138" s="36" t="s">
        <v>1431</v>
      </c>
      <c r="D138" s="36" t="s">
        <v>3456</v>
      </c>
      <c r="E138" s="39">
        <v>30</v>
      </c>
      <c r="F138" s="37">
        <v>0</v>
      </c>
      <c r="G138" s="37">
        <v>0</v>
      </c>
      <c r="H138" s="38">
        <v>13284377</v>
      </c>
      <c r="I138" s="39">
        <v>13284377</v>
      </c>
      <c r="J138" s="38">
        <v>833300</v>
      </c>
      <c r="K138" s="39">
        <v>14117677</v>
      </c>
      <c r="L138" s="39">
        <v>5647071</v>
      </c>
      <c r="M138" s="39"/>
      <c r="N138" s="39"/>
      <c r="O138" s="39"/>
      <c r="P138" s="38">
        <v>13284377</v>
      </c>
      <c r="Q138" s="39">
        <v>0</v>
      </c>
      <c r="R138" s="39">
        <v>0</v>
      </c>
      <c r="S138" s="40"/>
      <c r="T138" s="38">
        <v>0</v>
      </c>
      <c r="U138" s="40"/>
      <c r="V138" s="40">
        <v>531375</v>
      </c>
      <c r="W138" s="42"/>
      <c r="X138" s="40"/>
      <c r="Y138" s="40">
        <v>531375</v>
      </c>
      <c r="Z138" s="42"/>
      <c r="AA138" s="40"/>
      <c r="AB138" s="40"/>
      <c r="AC138" s="40">
        <v>133000</v>
      </c>
      <c r="AD138" s="42"/>
      <c r="AF138">
        <f>VLOOKUP(A138,Devengos!$A$4:$I$389,9,0)</f>
        <v>13284377</v>
      </c>
      <c r="AG138">
        <f t="shared" si="134"/>
        <v>13284377</v>
      </c>
      <c r="AH138">
        <f>IFERROR(VLOOKUP(B138,'Planilla Mes anterior'!$CX:$CY,2,0),0)</f>
        <v>13284377</v>
      </c>
      <c r="AJ138" s="95">
        <v>0</v>
      </c>
    </row>
    <row r="139" spans="1:36" x14ac:dyDescent="0.3">
      <c r="A139" s="81">
        <v>90702924</v>
      </c>
      <c r="B139" s="5">
        <v>10294114</v>
      </c>
      <c r="C139" s="36" t="s">
        <v>1436</v>
      </c>
      <c r="D139" s="36" t="s">
        <v>3456</v>
      </c>
      <c r="E139" s="39">
        <v>30</v>
      </c>
      <c r="F139" s="37">
        <v>0</v>
      </c>
      <c r="G139" s="37">
        <v>0</v>
      </c>
      <c r="H139" s="38">
        <v>7474487</v>
      </c>
      <c r="I139" s="39">
        <v>7474487</v>
      </c>
      <c r="J139" s="38">
        <v>775100</v>
      </c>
      <c r="K139" s="39">
        <v>8249587</v>
      </c>
      <c r="L139" s="39">
        <v>3299835</v>
      </c>
      <c r="M139" s="39"/>
      <c r="N139" s="39"/>
      <c r="O139" s="39"/>
      <c r="P139" s="38">
        <v>7386354</v>
      </c>
      <c r="Q139" s="39">
        <v>0</v>
      </c>
      <c r="R139" s="39">
        <v>0</v>
      </c>
      <c r="S139" s="40"/>
      <c r="T139" s="38">
        <v>0</v>
      </c>
      <c r="U139" s="40"/>
      <c r="V139" s="40">
        <v>298979</v>
      </c>
      <c r="W139" s="42"/>
      <c r="X139" s="40"/>
      <c r="Y139" s="40">
        <v>298979</v>
      </c>
      <c r="Z139" s="42"/>
      <c r="AA139" s="40"/>
      <c r="AB139" s="40"/>
      <c r="AC139" s="40">
        <v>74800</v>
      </c>
      <c r="AD139" s="42"/>
      <c r="AF139">
        <f>VLOOKUP(A139,Devengos!$A$4:$I$389,9,0)</f>
        <v>7386354</v>
      </c>
      <c r="AG139">
        <f t="shared" si="134"/>
        <v>7386354</v>
      </c>
      <c r="AH139">
        <f>IFERROR(VLOOKUP(B139,'Planilla Mes anterior'!$CX:$CY,2,0),0)</f>
        <v>7386354</v>
      </c>
      <c r="AJ139" s="95">
        <v>0</v>
      </c>
    </row>
    <row r="140" spans="1:36" x14ac:dyDescent="0.3">
      <c r="A140" s="81">
        <v>90702926</v>
      </c>
      <c r="B140" s="5">
        <v>1037658878</v>
      </c>
      <c r="C140" s="36" t="s">
        <v>1441</v>
      </c>
      <c r="D140" s="36" t="s">
        <v>3456</v>
      </c>
      <c r="E140" s="39">
        <v>30</v>
      </c>
      <c r="F140" s="37">
        <v>0</v>
      </c>
      <c r="G140" s="37">
        <v>0</v>
      </c>
      <c r="H140" s="38">
        <v>10691836</v>
      </c>
      <c r="I140" s="39">
        <v>10691836</v>
      </c>
      <c r="J140" s="38">
        <v>807500</v>
      </c>
      <c r="K140" s="39">
        <v>11499336</v>
      </c>
      <c r="L140" s="39">
        <v>4599734</v>
      </c>
      <c r="M140" s="39"/>
      <c r="N140" s="39"/>
      <c r="O140" s="39"/>
      <c r="P140" s="38">
        <v>10691835</v>
      </c>
      <c r="Q140" s="39">
        <v>0</v>
      </c>
      <c r="R140" s="39">
        <v>0</v>
      </c>
      <c r="S140" s="40"/>
      <c r="T140" s="38">
        <v>0</v>
      </c>
      <c r="U140" s="40"/>
      <c r="V140" s="40">
        <v>427674</v>
      </c>
      <c r="W140" s="42"/>
      <c r="X140" s="40"/>
      <c r="Y140" s="40">
        <v>427674</v>
      </c>
      <c r="Z140" s="42"/>
      <c r="AA140" s="40"/>
      <c r="AB140" s="40"/>
      <c r="AC140" s="40">
        <v>107200</v>
      </c>
      <c r="AD140" s="42"/>
      <c r="AF140">
        <f>VLOOKUP(A140,Devengos!$A$4:$I$389,9,0)</f>
        <v>10691835</v>
      </c>
      <c r="AG140">
        <f t="shared" si="134"/>
        <v>10691835</v>
      </c>
      <c r="AH140">
        <f>IFERROR(VLOOKUP(B140,'Planilla Mes anterior'!$CX:$CY,2,0),0)</f>
        <v>10691835</v>
      </c>
      <c r="AJ140" s="95">
        <v>0</v>
      </c>
    </row>
    <row r="141" spans="1:36" x14ac:dyDescent="0.3">
      <c r="A141" s="81">
        <v>90702964</v>
      </c>
      <c r="B141" s="5">
        <v>1038410562</v>
      </c>
      <c r="C141" s="36" t="s">
        <v>1445</v>
      </c>
      <c r="D141" s="36" t="s">
        <v>3456</v>
      </c>
      <c r="E141" s="39">
        <v>30</v>
      </c>
      <c r="F141" s="37">
        <v>0</v>
      </c>
      <c r="G141" s="37">
        <v>0</v>
      </c>
      <c r="H141" s="38">
        <v>8797480</v>
      </c>
      <c r="I141" s="39">
        <v>8797480</v>
      </c>
      <c r="J141" s="38">
        <v>788300</v>
      </c>
      <c r="K141" s="39">
        <v>9585780</v>
      </c>
      <c r="L141" s="39">
        <v>3834312</v>
      </c>
      <c r="M141" s="39"/>
      <c r="N141" s="39"/>
      <c r="O141" s="39"/>
      <c r="P141" s="38">
        <v>8797480</v>
      </c>
      <c r="Q141" s="39">
        <v>0</v>
      </c>
      <c r="R141" s="39">
        <v>0</v>
      </c>
      <c r="S141" s="40"/>
      <c r="T141" s="38">
        <v>0</v>
      </c>
      <c r="U141" s="40"/>
      <c r="V141" s="40">
        <v>351899</v>
      </c>
      <c r="W141" s="42"/>
      <c r="X141" s="40"/>
      <c r="Y141" s="40">
        <v>351899</v>
      </c>
      <c r="Z141" s="42"/>
      <c r="AA141" s="40"/>
      <c r="AB141" s="40"/>
      <c r="AC141" s="40">
        <v>88000</v>
      </c>
      <c r="AD141" s="42"/>
      <c r="AF141">
        <f>VLOOKUP(A141,Devengos!$A$4:$I$389,9,0)</f>
        <v>8797480</v>
      </c>
      <c r="AG141">
        <f t="shared" si="134"/>
        <v>8797480</v>
      </c>
      <c r="AH141">
        <f>IFERROR(VLOOKUP(B141,'Planilla Mes anterior'!$CX:$CY,2,0),0)</f>
        <v>8797480</v>
      </c>
      <c r="AJ141" s="95">
        <v>0</v>
      </c>
    </row>
    <row r="142" spans="1:36" x14ac:dyDescent="0.3">
      <c r="A142" s="81">
        <v>90703073</v>
      </c>
      <c r="B142" s="5">
        <v>71787599</v>
      </c>
      <c r="C142" s="36" t="s">
        <v>1452</v>
      </c>
      <c r="D142" s="36" t="s">
        <v>3344</v>
      </c>
      <c r="E142" s="39">
        <v>30</v>
      </c>
      <c r="F142" s="37">
        <v>0</v>
      </c>
      <c r="G142" s="37">
        <v>0</v>
      </c>
      <c r="H142" s="38">
        <v>22761765</v>
      </c>
      <c r="I142" s="39">
        <v>15933235</v>
      </c>
      <c r="J142" s="38">
        <v>859700</v>
      </c>
      <c r="K142" s="39">
        <v>23621465</v>
      </c>
      <c r="L142" s="39">
        <v>9448586</v>
      </c>
      <c r="M142" s="39"/>
      <c r="N142" s="39"/>
      <c r="O142" s="39"/>
      <c r="P142" s="38">
        <v>15933236</v>
      </c>
      <c r="Q142" s="39">
        <v>0</v>
      </c>
      <c r="R142" s="39">
        <v>0</v>
      </c>
      <c r="S142" s="40"/>
      <c r="T142" s="38"/>
      <c r="U142" s="40"/>
      <c r="V142" s="40">
        <v>637329</v>
      </c>
      <c r="W142" s="42"/>
      <c r="X142" s="40"/>
      <c r="Y142" s="40">
        <v>637329</v>
      </c>
      <c r="Z142" s="42"/>
      <c r="AA142" s="40"/>
      <c r="AB142" s="40"/>
      <c r="AC142" s="40">
        <v>159400</v>
      </c>
      <c r="AD142" s="42"/>
      <c r="AF142">
        <f>VLOOKUP(A142,Devengos!$A$4:$I$389,9,0)</f>
        <v>22761765</v>
      </c>
      <c r="AG142">
        <f t="shared" si="134"/>
        <v>15933236</v>
      </c>
      <c r="AH142">
        <f>IFERROR(VLOOKUP(B142,'Planilla Mes anterior'!$CX:$CY,2,0),0)</f>
        <v>15933236</v>
      </c>
      <c r="AJ142" s="95">
        <v>0</v>
      </c>
    </row>
    <row r="143" spans="1:36" x14ac:dyDescent="0.3">
      <c r="A143" s="81">
        <v>90703074</v>
      </c>
      <c r="B143" s="5">
        <v>1033655108.9999999</v>
      </c>
      <c r="C143" s="36" t="s">
        <v>1457</v>
      </c>
      <c r="D143" s="36" t="s">
        <v>3456</v>
      </c>
      <c r="E143" s="39">
        <v>30</v>
      </c>
      <c r="F143" s="37">
        <v>0</v>
      </c>
      <c r="G143" s="37">
        <v>0</v>
      </c>
      <c r="H143" s="38">
        <v>12267331</v>
      </c>
      <c r="I143" s="39">
        <v>12267331</v>
      </c>
      <c r="J143" s="38">
        <v>823100</v>
      </c>
      <c r="K143" s="39">
        <v>13090431</v>
      </c>
      <c r="L143" s="39">
        <v>5236172</v>
      </c>
      <c r="M143" s="39"/>
      <c r="N143" s="39"/>
      <c r="O143" s="39"/>
      <c r="P143" s="38">
        <v>14293696</v>
      </c>
      <c r="Q143" s="39">
        <v>0</v>
      </c>
      <c r="R143" s="39">
        <v>0</v>
      </c>
      <c r="S143" s="40"/>
      <c r="T143" s="38">
        <v>0</v>
      </c>
      <c r="U143" s="40"/>
      <c r="V143" s="40">
        <v>490693</v>
      </c>
      <c r="W143" s="42"/>
      <c r="X143" s="40"/>
      <c r="Y143" s="40">
        <v>490693</v>
      </c>
      <c r="Z143" s="42"/>
      <c r="AA143" s="40"/>
      <c r="AB143" s="40"/>
      <c r="AC143" s="40">
        <v>122800</v>
      </c>
      <c r="AD143" s="42"/>
      <c r="AF143">
        <f>VLOOKUP(A143,Devengos!$A$4:$I$389,9,0)</f>
        <v>12267331</v>
      </c>
      <c r="AG143">
        <f t="shared" si="134"/>
        <v>12267331</v>
      </c>
      <c r="AH143">
        <f>IFERROR(VLOOKUP(B143,'Planilla Mes anterior'!$CX:$CY,2,0),0)</f>
        <v>14293696</v>
      </c>
      <c r="AJ143" s="95">
        <v>0</v>
      </c>
    </row>
    <row r="144" spans="1:36" x14ac:dyDescent="0.3">
      <c r="A144" s="81">
        <v>90703085</v>
      </c>
      <c r="B144" s="5">
        <v>1098790676</v>
      </c>
      <c r="C144" s="36" t="s">
        <v>1461</v>
      </c>
      <c r="D144" s="36" t="s">
        <v>3344</v>
      </c>
      <c r="E144" s="39">
        <v>37</v>
      </c>
      <c r="F144" s="37">
        <v>2</v>
      </c>
      <c r="G144" s="37">
        <v>0</v>
      </c>
      <c r="H144" s="38">
        <v>22827934</v>
      </c>
      <c r="I144" s="39">
        <v>15979554</v>
      </c>
      <c r="J144" s="38">
        <v>954886</v>
      </c>
      <c r="K144" s="39">
        <v>23782820</v>
      </c>
      <c r="L144" s="39">
        <v>9513128</v>
      </c>
      <c r="M144" s="39"/>
      <c r="N144" s="39"/>
      <c r="O144" s="39"/>
      <c r="P144" s="38">
        <v>16700951</v>
      </c>
      <c r="Q144" s="39">
        <v>1113397</v>
      </c>
      <c r="R144" s="39">
        <v>0</v>
      </c>
      <c r="S144" s="40"/>
      <c r="T144" s="38"/>
      <c r="U144" s="40"/>
      <c r="V144" s="40">
        <v>683718</v>
      </c>
      <c r="W144" s="42"/>
      <c r="X144" s="40"/>
      <c r="Y144" s="40">
        <v>683718</v>
      </c>
      <c r="Z144" s="42"/>
      <c r="AA144" s="40"/>
      <c r="AB144" s="40"/>
      <c r="AC144" s="40">
        <v>171000</v>
      </c>
      <c r="AD144" s="42"/>
      <c r="AF144">
        <f>VLOOKUP(A144,Devengos!$A$4:$I$389,9,0)</f>
        <v>23858501</v>
      </c>
      <c r="AG144">
        <f t="shared" si="134"/>
        <v>16700951</v>
      </c>
      <c r="AH144">
        <f>IFERROR(VLOOKUP(B144,'Planilla Mes anterior'!$CX:$CY,2,0),0)</f>
        <v>16700951</v>
      </c>
      <c r="AJ144" s="95">
        <v>0</v>
      </c>
    </row>
    <row r="145" spans="1:36" x14ac:dyDescent="0.3">
      <c r="A145" s="81">
        <v>90703595</v>
      </c>
      <c r="B145" s="5">
        <v>1053796847.0000001</v>
      </c>
      <c r="C145" s="36" t="s">
        <v>1466</v>
      </c>
      <c r="D145" s="36" t="s">
        <v>3456</v>
      </c>
      <c r="E145" s="39">
        <v>36</v>
      </c>
      <c r="F145" s="37">
        <v>0</v>
      </c>
      <c r="G145" s="37">
        <v>0</v>
      </c>
      <c r="H145" s="38">
        <v>8513813</v>
      </c>
      <c r="I145" s="39">
        <v>8513813</v>
      </c>
      <c r="J145" s="38">
        <v>785500</v>
      </c>
      <c r="K145" s="39">
        <v>9299313</v>
      </c>
      <c r="L145" s="39">
        <v>3719725</v>
      </c>
      <c r="M145" s="39"/>
      <c r="N145" s="39"/>
      <c r="O145" s="39"/>
      <c r="P145" s="38">
        <v>8803233</v>
      </c>
      <c r="Q145" s="39">
        <v>0</v>
      </c>
      <c r="R145" s="39">
        <v>0</v>
      </c>
      <c r="S145" s="40"/>
      <c r="T145" s="38">
        <v>0</v>
      </c>
      <c r="U145" s="40"/>
      <c r="V145" s="40">
        <v>340553</v>
      </c>
      <c r="W145" s="42"/>
      <c r="X145" s="40"/>
      <c r="Y145" s="40">
        <v>340553</v>
      </c>
      <c r="Z145" s="42"/>
      <c r="AA145" s="40"/>
      <c r="AB145" s="40"/>
      <c r="AC145" s="40">
        <v>85200</v>
      </c>
      <c r="AD145" s="42"/>
      <c r="AF145">
        <f>VLOOKUP(A145,Devengos!$A$4:$I$389,9,0)</f>
        <v>7463846</v>
      </c>
      <c r="AG145">
        <f t="shared" si="134"/>
        <v>7463846</v>
      </c>
      <c r="AH145">
        <f>IFERROR(VLOOKUP(B145,'Planilla Mes anterior'!$CX:$CY,2,0),0)</f>
        <v>8803233</v>
      </c>
      <c r="AJ145" s="95">
        <v>0</v>
      </c>
    </row>
    <row r="146" spans="1:36" x14ac:dyDescent="0.3">
      <c r="A146" s="81">
        <v>90703619</v>
      </c>
      <c r="B146" s="5">
        <v>80169210</v>
      </c>
      <c r="C146" s="36" t="s">
        <v>1472</v>
      </c>
      <c r="D146" s="36" t="s">
        <v>3456</v>
      </c>
      <c r="E146" s="39">
        <v>30</v>
      </c>
      <c r="F146" s="37">
        <v>0</v>
      </c>
      <c r="G146" s="37">
        <v>0</v>
      </c>
      <c r="H146" s="38">
        <v>5097149</v>
      </c>
      <c r="I146" s="39">
        <v>5097149</v>
      </c>
      <c r="J146" s="38">
        <v>700300</v>
      </c>
      <c r="K146" s="39">
        <v>5797449</v>
      </c>
      <c r="L146" s="39">
        <v>2318980</v>
      </c>
      <c r="M146" s="39"/>
      <c r="N146" s="39"/>
      <c r="O146" s="39"/>
      <c r="P146" s="38">
        <v>5097149</v>
      </c>
      <c r="Q146" s="39">
        <v>0</v>
      </c>
      <c r="R146" s="39">
        <v>0</v>
      </c>
      <c r="S146" s="40"/>
      <c r="T146" s="38">
        <v>0</v>
      </c>
      <c r="U146" s="40"/>
      <c r="V146" s="40">
        <v>203886</v>
      </c>
      <c r="W146" s="42"/>
      <c r="X146" s="40"/>
      <c r="Y146" s="40">
        <v>203886</v>
      </c>
      <c r="Z146" s="42"/>
      <c r="AA146" s="40"/>
      <c r="AB146" s="40"/>
      <c r="AC146" s="40">
        <v>0</v>
      </c>
      <c r="AD146" s="42"/>
      <c r="AF146">
        <f>VLOOKUP(A146,Devengos!$A$4:$I$389,9,0)</f>
        <v>5097149</v>
      </c>
      <c r="AG146">
        <f t="shared" si="134"/>
        <v>5097149</v>
      </c>
      <c r="AH146">
        <f>IFERROR(VLOOKUP(B146,'Planilla Mes anterior'!$CX:$CY,2,0),0)</f>
        <v>5097149</v>
      </c>
      <c r="AJ146" s="95">
        <v>0</v>
      </c>
    </row>
    <row r="147" spans="1:36" x14ac:dyDescent="0.3">
      <c r="A147" s="81">
        <v>90703620</v>
      </c>
      <c r="B147" s="5">
        <v>53064927</v>
      </c>
      <c r="C147" s="36" t="s">
        <v>1478</v>
      </c>
      <c r="D147" s="36" t="s">
        <v>3456</v>
      </c>
      <c r="E147" s="39">
        <v>31</v>
      </c>
      <c r="F147" s="37">
        <v>0</v>
      </c>
      <c r="G147" s="37">
        <v>0</v>
      </c>
      <c r="H147" s="38">
        <v>6480981</v>
      </c>
      <c r="I147" s="39">
        <v>6480981</v>
      </c>
      <c r="J147" s="38">
        <v>700300</v>
      </c>
      <c r="K147" s="39">
        <v>7181281</v>
      </c>
      <c r="L147" s="39">
        <v>2872512</v>
      </c>
      <c r="M147" s="39"/>
      <c r="N147" s="39"/>
      <c r="O147" s="39"/>
      <c r="P147" s="38">
        <v>4060991</v>
      </c>
      <c r="Q147" s="39">
        <v>0</v>
      </c>
      <c r="R147" s="39">
        <v>0</v>
      </c>
      <c r="S147" s="40"/>
      <c r="T147" s="38">
        <v>0</v>
      </c>
      <c r="U147" s="40"/>
      <c r="V147" s="40">
        <v>259239</v>
      </c>
      <c r="W147" s="42"/>
      <c r="X147" s="40"/>
      <c r="Y147" s="40">
        <v>259239</v>
      </c>
      <c r="Z147" s="42"/>
      <c r="AA147" s="40"/>
      <c r="AB147" s="40"/>
      <c r="AC147" s="40">
        <v>0</v>
      </c>
      <c r="AD147" s="42"/>
      <c r="AF147">
        <f>VLOOKUP(A147,Devengos!$A$4:$I$389,9,0)</f>
        <v>3860537.8966999999</v>
      </c>
      <c r="AG147">
        <f t="shared" si="134"/>
        <v>3860537.8966999999</v>
      </c>
      <c r="AH147">
        <f>IFERROR(VLOOKUP(B147,'Planilla Mes anterior'!$CX:$CY,2,0),0)</f>
        <v>4060991</v>
      </c>
      <c r="AJ147" s="95">
        <v>0</v>
      </c>
    </row>
    <row r="148" spans="1:36" x14ac:dyDescent="0.3">
      <c r="A148" s="81">
        <v>90703717</v>
      </c>
      <c r="B148" s="5">
        <v>32243460</v>
      </c>
      <c r="C148" s="36" t="s">
        <v>1483</v>
      </c>
      <c r="D148" s="36" t="s">
        <v>3344</v>
      </c>
      <c r="E148" s="39">
        <v>30</v>
      </c>
      <c r="F148" s="37">
        <v>0</v>
      </c>
      <c r="G148" s="37">
        <v>0</v>
      </c>
      <c r="H148" s="38">
        <v>22761765</v>
      </c>
      <c r="I148" s="39">
        <v>15933235</v>
      </c>
      <c r="J148" s="38">
        <v>4370700</v>
      </c>
      <c r="K148" s="39">
        <v>27132465</v>
      </c>
      <c r="L148" s="39">
        <v>10852986</v>
      </c>
      <c r="M148" s="39"/>
      <c r="N148" s="39"/>
      <c r="O148" s="39"/>
      <c r="P148" s="38">
        <v>15933236</v>
      </c>
      <c r="Q148" s="39">
        <v>0</v>
      </c>
      <c r="R148" s="39">
        <v>0</v>
      </c>
      <c r="S148" s="40"/>
      <c r="T148" s="38"/>
      <c r="U148" s="40"/>
      <c r="V148" s="40">
        <v>637329</v>
      </c>
      <c r="W148" s="42"/>
      <c r="X148" s="40"/>
      <c r="Y148" s="40">
        <v>637329</v>
      </c>
      <c r="Z148" s="42"/>
      <c r="AA148" s="40"/>
      <c r="AB148" s="40"/>
      <c r="AC148" s="40">
        <v>159400</v>
      </c>
      <c r="AD148" s="42"/>
      <c r="AF148">
        <f>VLOOKUP(A148,Devengos!$A$4:$I$389,9,0)</f>
        <v>22761765</v>
      </c>
      <c r="AG148">
        <f t="shared" si="134"/>
        <v>15933236</v>
      </c>
      <c r="AH148">
        <f>IFERROR(VLOOKUP(B148,'Planilla Mes anterior'!$CX:$CY,2,0),0)</f>
        <v>15933236</v>
      </c>
      <c r="AJ148" s="95">
        <v>0</v>
      </c>
    </row>
    <row r="149" spans="1:36" x14ac:dyDescent="0.3">
      <c r="A149" s="81">
        <v>90704117</v>
      </c>
      <c r="B149" s="5">
        <v>1020475163.0000001</v>
      </c>
      <c r="C149" s="36" t="s">
        <v>1486</v>
      </c>
      <c r="D149" s="36" t="s">
        <v>3344</v>
      </c>
      <c r="E149" s="39">
        <v>37</v>
      </c>
      <c r="F149" s="37">
        <v>0</v>
      </c>
      <c r="G149" s="37">
        <v>0</v>
      </c>
      <c r="H149" s="38">
        <v>23321765</v>
      </c>
      <c r="I149" s="39">
        <v>16325235</v>
      </c>
      <c r="J149" s="38">
        <v>863700</v>
      </c>
      <c r="K149" s="39">
        <v>24185465</v>
      </c>
      <c r="L149" s="39">
        <v>9674186</v>
      </c>
      <c r="M149" s="39"/>
      <c r="N149" s="39"/>
      <c r="O149" s="39"/>
      <c r="P149" s="38">
        <v>15933236</v>
      </c>
      <c r="Q149" s="39">
        <v>0</v>
      </c>
      <c r="R149" s="39">
        <v>0</v>
      </c>
      <c r="S149" s="40"/>
      <c r="T149" s="38"/>
      <c r="U149" s="40"/>
      <c r="V149" s="40">
        <v>653009</v>
      </c>
      <c r="W149" s="42"/>
      <c r="X149" s="40"/>
      <c r="Y149" s="40">
        <v>653009</v>
      </c>
      <c r="Z149" s="42"/>
      <c r="AA149" s="40"/>
      <c r="AB149" s="40"/>
      <c r="AC149" s="40">
        <v>163400</v>
      </c>
      <c r="AD149" s="42"/>
      <c r="AF149">
        <f>VLOOKUP(A149,Devengos!$A$4:$I$389,9,0)</f>
        <v>22761765</v>
      </c>
      <c r="AG149">
        <f t="shared" si="134"/>
        <v>15933236</v>
      </c>
      <c r="AH149">
        <f>IFERROR(VLOOKUP(B149,'Planilla Mes anterior'!$CX:$CY,2,0),0)</f>
        <v>15933236</v>
      </c>
      <c r="AJ149" s="95">
        <v>0</v>
      </c>
    </row>
    <row r="150" spans="1:36" x14ac:dyDescent="0.3">
      <c r="A150" s="81">
        <v>90704139</v>
      </c>
      <c r="B150" s="5">
        <v>1036965732.9999999</v>
      </c>
      <c r="C150" s="36" t="s">
        <v>1490</v>
      </c>
      <c r="D150" s="36" t="s">
        <v>3344</v>
      </c>
      <c r="E150" s="39">
        <v>30</v>
      </c>
      <c r="F150" s="37">
        <v>0</v>
      </c>
      <c r="G150" s="37">
        <v>0</v>
      </c>
      <c r="H150" s="38">
        <v>22761765</v>
      </c>
      <c r="I150" s="39">
        <v>15933235</v>
      </c>
      <c r="J150" s="38">
        <v>859700</v>
      </c>
      <c r="K150" s="39">
        <v>23621465</v>
      </c>
      <c r="L150" s="39">
        <v>9448586</v>
      </c>
      <c r="M150" s="39"/>
      <c r="N150" s="39"/>
      <c r="O150" s="39"/>
      <c r="P150" s="38">
        <v>22761765.714</v>
      </c>
      <c r="Q150" s="39">
        <v>0</v>
      </c>
      <c r="R150" s="39">
        <v>0</v>
      </c>
      <c r="S150" s="40"/>
      <c r="T150" s="38"/>
      <c r="U150" s="40"/>
      <c r="V150" s="40">
        <v>637329</v>
      </c>
      <c r="W150" s="42"/>
      <c r="X150" s="40"/>
      <c r="Y150" s="40">
        <v>637329</v>
      </c>
      <c r="Z150" s="42"/>
      <c r="AA150" s="40"/>
      <c r="AB150" s="40"/>
      <c r="AC150" s="40">
        <v>159400</v>
      </c>
      <c r="AD150" s="42"/>
      <c r="AF150">
        <f>VLOOKUP(A150,Devengos!$A$4:$I$389,9,0)</f>
        <v>22761765</v>
      </c>
      <c r="AG150">
        <f t="shared" si="134"/>
        <v>15933236</v>
      </c>
      <c r="AH150">
        <f>IFERROR(VLOOKUP(B150,'Planilla Mes anterior'!$CX:$CY,2,0),0)</f>
        <v>15933236</v>
      </c>
      <c r="AJ150" s="95">
        <v>0</v>
      </c>
    </row>
    <row r="151" spans="1:36" x14ac:dyDescent="0.3">
      <c r="A151" s="81">
        <v>90704224</v>
      </c>
      <c r="B151" s="5">
        <v>1015400244.9999999</v>
      </c>
      <c r="C151" s="36" t="s">
        <v>1494</v>
      </c>
      <c r="D151" s="36" t="s">
        <v>3456</v>
      </c>
      <c r="E151" s="39">
        <v>30</v>
      </c>
      <c r="F151" s="37">
        <v>0</v>
      </c>
      <c r="G151" s="37">
        <v>0</v>
      </c>
      <c r="H151" s="38">
        <v>10613450</v>
      </c>
      <c r="I151" s="39">
        <v>10613450</v>
      </c>
      <c r="J151" s="38">
        <v>806500</v>
      </c>
      <c r="K151" s="39">
        <v>11419950</v>
      </c>
      <c r="L151" s="39">
        <v>4567980</v>
      </c>
      <c r="M151" s="39"/>
      <c r="N151" s="39"/>
      <c r="O151" s="39"/>
      <c r="P151" s="38">
        <v>10613450</v>
      </c>
      <c r="Q151" s="39">
        <v>0</v>
      </c>
      <c r="R151" s="39">
        <v>0</v>
      </c>
      <c r="S151" s="40"/>
      <c r="T151" s="38">
        <v>0</v>
      </c>
      <c r="U151" s="40"/>
      <c r="V151" s="40">
        <v>424538</v>
      </c>
      <c r="W151" s="42"/>
      <c r="X151" s="40"/>
      <c r="Y151" s="40">
        <v>424538</v>
      </c>
      <c r="Z151" s="42"/>
      <c r="AA151" s="40"/>
      <c r="AB151" s="40"/>
      <c r="AC151" s="40">
        <v>106200</v>
      </c>
      <c r="AD151" s="42"/>
      <c r="AF151">
        <f>VLOOKUP(A151,Devengos!$A$4:$I$389,9,0)</f>
        <v>10613450</v>
      </c>
      <c r="AG151">
        <f t="shared" si="134"/>
        <v>10613450</v>
      </c>
      <c r="AH151">
        <f>IFERROR(VLOOKUP(B151,'Planilla Mes anterior'!$CX:$CY,2,0),0)</f>
        <v>10613450</v>
      </c>
      <c r="AJ151" s="95">
        <v>0</v>
      </c>
    </row>
    <row r="152" spans="1:36" x14ac:dyDescent="0.3">
      <c r="A152" s="81">
        <v>90704578</v>
      </c>
      <c r="B152" s="5">
        <v>1098619130</v>
      </c>
      <c r="C152" s="36" t="s">
        <v>1498</v>
      </c>
      <c r="D152" s="36" t="s">
        <v>3456</v>
      </c>
      <c r="E152" s="39">
        <v>30</v>
      </c>
      <c r="F152" s="37">
        <v>0</v>
      </c>
      <c r="G152" s="37">
        <v>0</v>
      </c>
      <c r="H152" s="38">
        <v>9238000</v>
      </c>
      <c r="I152" s="39">
        <v>9238000</v>
      </c>
      <c r="J152" s="38">
        <v>792700</v>
      </c>
      <c r="K152" s="39">
        <v>10030700</v>
      </c>
      <c r="L152" s="39">
        <v>4012280</v>
      </c>
      <c r="M152" s="39"/>
      <c r="N152" s="39"/>
      <c r="O152" s="39"/>
      <c r="P152" s="38">
        <v>11307313</v>
      </c>
      <c r="Q152" s="39">
        <v>0</v>
      </c>
      <c r="R152" s="39">
        <v>0</v>
      </c>
      <c r="S152" s="40"/>
      <c r="T152" s="38">
        <v>0</v>
      </c>
      <c r="U152" s="40"/>
      <c r="V152" s="40">
        <v>369520</v>
      </c>
      <c r="W152" s="42"/>
      <c r="X152" s="40"/>
      <c r="Y152" s="40">
        <v>369520</v>
      </c>
      <c r="Z152" s="42"/>
      <c r="AA152" s="40"/>
      <c r="AB152" s="40"/>
      <c r="AC152" s="40">
        <v>92400</v>
      </c>
      <c r="AD152" s="42"/>
      <c r="AF152">
        <f>VLOOKUP(A152,Devengos!$A$4:$I$389,9,0)</f>
        <v>9238000</v>
      </c>
      <c r="AG152">
        <f t="shared" si="134"/>
        <v>9238000</v>
      </c>
      <c r="AH152">
        <f>IFERROR(VLOOKUP(B152,'Planilla Mes anterior'!$CX:$CY,2,0),0)</f>
        <v>11307313</v>
      </c>
      <c r="AJ152" s="95">
        <v>0</v>
      </c>
    </row>
    <row r="153" spans="1:36" x14ac:dyDescent="0.3">
      <c r="A153" s="81">
        <v>90704676</v>
      </c>
      <c r="B153" s="5">
        <v>11440184</v>
      </c>
      <c r="C153" s="36" t="s">
        <v>1502</v>
      </c>
      <c r="D153" s="36" t="s">
        <v>3456</v>
      </c>
      <c r="E153" s="39">
        <v>30</v>
      </c>
      <c r="F153" s="37">
        <v>0</v>
      </c>
      <c r="G153" s="37">
        <v>0</v>
      </c>
      <c r="H153" s="38">
        <v>12590510</v>
      </c>
      <c r="I153" s="39">
        <v>12590510</v>
      </c>
      <c r="J153" s="38">
        <v>826300</v>
      </c>
      <c r="K153" s="39">
        <v>13416810</v>
      </c>
      <c r="L153" s="39">
        <v>5366724</v>
      </c>
      <c r="M153" s="39"/>
      <c r="N153" s="39"/>
      <c r="O153" s="39"/>
      <c r="P153" s="38">
        <v>12590510</v>
      </c>
      <c r="Q153" s="39">
        <v>0</v>
      </c>
      <c r="R153" s="39">
        <v>0</v>
      </c>
      <c r="S153" s="40"/>
      <c r="T153" s="38">
        <v>0</v>
      </c>
      <c r="U153" s="40"/>
      <c r="V153" s="40">
        <v>503620</v>
      </c>
      <c r="W153" s="42"/>
      <c r="X153" s="40"/>
      <c r="Y153" s="40">
        <v>503620</v>
      </c>
      <c r="Z153" s="42"/>
      <c r="AA153" s="40"/>
      <c r="AB153" s="40"/>
      <c r="AC153" s="40">
        <v>126000</v>
      </c>
      <c r="AD153" s="42"/>
      <c r="AF153">
        <f>VLOOKUP(A153,Devengos!$A$4:$I$389,9,0)</f>
        <v>12590510</v>
      </c>
      <c r="AG153">
        <f t="shared" si="134"/>
        <v>12590510</v>
      </c>
      <c r="AH153">
        <f>IFERROR(VLOOKUP(B153,'Planilla Mes anterior'!$CX:$CY,2,0),0)</f>
        <v>12590510</v>
      </c>
      <c r="AJ153" s="95">
        <v>0</v>
      </c>
    </row>
    <row r="154" spans="1:36" x14ac:dyDescent="0.3">
      <c r="A154" s="81">
        <v>90704911</v>
      </c>
      <c r="B154" s="5">
        <v>1040755111.0000001</v>
      </c>
      <c r="C154" s="36" t="s">
        <v>1506</v>
      </c>
      <c r="D154" s="36" t="s">
        <v>3456</v>
      </c>
      <c r="E154" s="39">
        <v>30</v>
      </c>
      <c r="F154" s="37">
        <v>4</v>
      </c>
      <c r="G154" s="37">
        <v>0</v>
      </c>
      <c r="H154" s="38">
        <v>7910067</v>
      </c>
      <c r="I154" s="39">
        <v>7910067</v>
      </c>
      <c r="J154" s="38">
        <v>1094302</v>
      </c>
      <c r="K154" s="39">
        <v>9004369</v>
      </c>
      <c r="L154" s="39">
        <v>3601748</v>
      </c>
      <c r="M154" s="39"/>
      <c r="N154" s="39"/>
      <c r="O154" s="39"/>
      <c r="P154" s="38">
        <v>9127000</v>
      </c>
      <c r="Q154" s="39">
        <v>1216933</v>
      </c>
      <c r="R154" s="39">
        <v>0</v>
      </c>
      <c r="S154" s="40"/>
      <c r="T154" s="38">
        <v>0</v>
      </c>
      <c r="U154" s="40"/>
      <c r="V154" s="40">
        <v>365080</v>
      </c>
      <c r="W154" s="42"/>
      <c r="X154" s="40"/>
      <c r="Y154" s="40">
        <v>365080</v>
      </c>
      <c r="Z154" s="42"/>
      <c r="AA154" s="40"/>
      <c r="AB154" s="40"/>
      <c r="AC154" s="40">
        <v>91400</v>
      </c>
      <c r="AD154" s="42"/>
      <c r="AF154">
        <f>VLOOKUP(A154,Devengos!$A$4:$I$389,9,0)</f>
        <v>9127000.0099999998</v>
      </c>
      <c r="AG154">
        <f t="shared" si="134"/>
        <v>9127000.0099999998</v>
      </c>
      <c r="AH154">
        <f>IFERROR(VLOOKUP(B154,'Planilla Mes anterior'!$CX:$CY,2,0),0)</f>
        <v>9127000</v>
      </c>
      <c r="AJ154" s="95">
        <v>0</v>
      </c>
    </row>
    <row r="155" spans="1:36" x14ac:dyDescent="0.3">
      <c r="A155" s="81">
        <v>90704913</v>
      </c>
      <c r="B155" s="5">
        <v>1032475482</v>
      </c>
      <c r="C155" s="36" t="s">
        <v>1511</v>
      </c>
      <c r="D155" s="36" t="s">
        <v>3456</v>
      </c>
      <c r="E155" s="39">
        <v>31</v>
      </c>
      <c r="F155" s="37">
        <v>0</v>
      </c>
      <c r="G155" s="37">
        <v>0</v>
      </c>
      <c r="H155" s="38">
        <v>14424395</v>
      </c>
      <c r="I155" s="39">
        <v>14424395</v>
      </c>
      <c r="J155" s="38">
        <v>2315388</v>
      </c>
      <c r="K155" s="39">
        <v>16739783</v>
      </c>
      <c r="L155" s="39">
        <v>6695913</v>
      </c>
      <c r="M155" s="39"/>
      <c r="N155" s="39"/>
      <c r="O155" s="39"/>
      <c r="P155" s="38">
        <v>11285655</v>
      </c>
      <c r="Q155" s="39">
        <v>0</v>
      </c>
      <c r="R155" s="39">
        <v>0</v>
      </c>
      <c r="S155" s="40"/>
      <c r="T155" s="38">
        <v>0</v>
      </c>
      <c r="U155" s="40"/>
      <c r="V155" s="40">
        <v>576976</v>
      </c>
      <c r="W155" s="42"/>
      <c r="X155" s="40"/>
      <c r="Y155" s="40">
        <v>576976</v>
      </c>
      <c r="Z155" s="42"/>
      <c r="AA155" s="40"/>
      <c r="AB155" s="40"/>
      <c r="AC155" s="40">
        <v>144400</v>
      </c>
      <c r="AD155" s="42"/>
      <c r="AF155">
        <f>VLOOKUP(A155,Devengos!$A$4:$I$389,9,0)</f>
        <v>9534053.2758000009</v>
      </c>
      <c r="AG155">
        <f t="shared" si="134"/>
        <v>9534053.2758000009</v>
      </c>
      <c r="AH155">
        <f>IFERROR(VLOOKUP(B155,'Planilla Mes anterior'!$CX:$CY,2,0),0)</f>
        <v>11285655</v>
      </c>
      <c r="AJ155" s="95">
        <v>0</v>
      </c>
    </row>
    <row r="156" spans="1:36" x14ac:dyDescent="0.3">
      <c r="A156" s="81">
        <v>90705092</v>
      </c>
      <c r="B156" s="5">
        <v>43985419</v>
      </c>
      <c r="C156" s="36" t="s">
        <v>1517</v>
      </c>
      <c r="D156" s="36" t="s">
        <v>3456</v>
      </c>
      <c r="E156" s="39">
        <v>30</v>
      </c>
      <c r="F156" s="37">
        <v>0</v>
      </c>
      <c r="G156" s="37">
        <v>0</v>
      </c>
      <c r="H156" s="38">
        <v>12831526</v>
      </c>
      <c r="I156" s="39">
        <v>12831526</v>
      </c>
      <c r="J156" s="38">
        <v>828700</v>
      </c>
      <c r="K156" s="39">
        <v>13660226</v>
      </c>
      <c r="L156" s="39">
        <v>5464090</v>
      </c>
      <c r="M156" s="39"/>
      <c r="N156" s="39"/>
      <c r="O156" s="39"/>
      <c r="P156" s="38">
        <v>12831526</v>
      </c>
      <c r="Q156" s="39">
        <v>0</v>
      </c>
      <c r="R156" s="39">
        <v>0</v>
      </c>
      <c r="S156" s="40"/>
      <c r="T156" s="38">
        <v>0</v>
      </c>
      <c r="U156" s="40"/>
      <c r="V156" s="40">
        <v>513261</v>
      </c>
      <c r="W156" s="42"/>
      <c r="X156" s="40"/>
      <c r="Y156" s="40">
        <v>513261</v>
      </c>
      <c r="Z156" s="42"/>
      <c r="AA156" s="40"/>
      <c r="AB156" s="40"/>
      <c r="AC156" s="40">
        <v>128400</v>
      </c>
      <c r="AD156" s="42"/>
      <c r="AF156">
        <f>VLOOKUP(A156,Devengos!$A$4:$I$389,9,0)</f>
        <v>12831526</v>
      </c>
      <c r="AG156">
        <f t="shared" si="134"/>
        <v>12831526</v>
      </c>
      <c r="AH156">
        <f>IFERROR(VLOOKUP(B156,'Planilla Mes anterior'!$CX:$CY,2,0),0)</f>
        <v>12831526</v>
      </c>
      <c r="AJ156" s="95">
        <v>0</v>
      </c>
    </row>
    <row r="157" spans="1:36" x14ac:dyDescent="0.3">
      <c r="A157" s="81">
        <v>90705094</v>
      </c>
      <c r="B157" s="5">
        <v>1036676628.9999999</v>
      </c>
      <c r="C157" s="36" t="s">
        <v>1520</v>
      </c>
      <c r="D157" s="36" t="s">
        <v>3456</v>
      </c>
      <c r="E157" s="39">
        <v>30</v>
      </c>
      <c r="F157" s="37">
        <v>5</v>
      </c>
      <c r="G157" s="37">
        <v>0</v>
      </c>
      <c r="H157" s="38">
        <v>9314983</v>
      </c>
      <c r="I157" s="39">
        <v>9314983</v>
      </c>
      <c r="J157" s="38">
        <v>1362324</v>
      </c>
      <c r="K157" s="39">
        <v>10677307</v>
      </c>
      <c r="L157" s="39">
        <v>4270923</v>
      </c>
      <c r="M157" s="39"/>
      <c r="N157" s="39"/>
      <c r="O157" s="39"/>
      <c r="P157" s="38">
        <v>13956599</v>
      </c>
      <c r="Q157" s="39">
        <v>2326100</v>
      </c>
      <c r="R157" s="39">
        <v>0</v>
      </c>
      <c r="S157" s="40"/>
      <c r="T157" s="38">
        <v>0</v>
      </c>
      <c r="U157" s="40"/>
      <c r="V157" s="40">
        <v>465643</v>
      </c>
      <c r="W157" s="42"/>
      <c r="X157" s="40"/>
      <c r="Y157" s="40">
        <v>465643</v>
      </c>
      <c r="Z157" s="42"/>
      <c r="AA157" s="40"/>
      <c r="AB157" s="40"/>
      <c r="AC157" s="40">
        <v>116600</v>
      </c>
      <c r="AD157" s="42"/>
      <c r="AF157">
        <f>VLOOKUP(A157,Devengos!$A$4:$I$389,9,0)</f>
        <v>11177980</v>
      </c>
      <c r="AG157">
        <f t="shared" si="134"/>
        <v>11177980</v>
      </c>
      <c r="AH157">
        <f>IFERROR(VLOOKUP(B157,'Planilla Mes anterior'!$CX:$CY,2,0),0)</f>
        <v>13956599</v>
      </c>
      <c r="AJ157" s="95">
        <v>0</v>
      </c>
    </row>
    <row r="158" spans="1:36" x14ac:dyDescent="0.3">
      <c r="A158" s="81">
        <v>90705095</v>
      </c>
      <c r="B158" s="5">
        <v>1020425156.9999999</v>
      </c>
      <c r="C158" s="36" t="s">
        <v>1524</v>
      </c>
      <c r="D158" s="36" t="s">
        <v>3456</v>
      </c>
      <c r="E158" s="39">
        <v>30</v>
      </c>
      <c r="F158" s="37">
        <v>7</v>
      </c>
      <c r="G158" s="37">
        <v>0</v>
      </c>
      <c r="H158" s="38">
        <v>9939616</v>
      </c>
      <c r="I158" s="39">
        <v>9939616</v>
      </c>
      <c r="J158" s="38">
        <v>830900</v>
      </c>
      <c r="K158" s="39">
        <v>10770516</v>
      </c>
      <c r="L158" s="39">
        <v>4308206</v>
      </c>
      <c r="M158" s="39"/>
      <c r="N158" s="39"/>
      <c r="O158" s="39"/>
      <c r="P158" s="38">
        <v>13311219</v>
      </c>
      <c r="Q158" s="39">
        <v>3105951</v>
      </c>
      <c r="R158" s="39">
        <v>0</v>
      </c>
      <c r="S158" s="40"/>
      <c r="T158" s="38">
        <v>0</v>
      </c>
      <c r="U158" s="40"/>
      <c r="V158" s="40">
        <v>521823</v>
      </c>
      <c r="W158" s="42"/>
      <c r="X158" s="40"/>
      <c r="Y158" s="40">
        <v>521823</v>
      </c>
      <c r="Z158" s="42"/>
      <c r="AA158" s="40"/>
      <c r="AB158" s="40"/>
      <c r="AC158" s="40">
        <v>130600</v>
      </c>
      <c r="AD158" s="42"/>
      <c r="AF158">
        <f>VLOOKUP(A158,Devengos!$A$4:$I$389,9,0)</f>
        <v>11104776</v>
      </c>
      <c r="AG158">
        <f t="shared" si="134"/>
        <v>11104776</v>
      </c>
      <c r="AH158">
        <f>IFERROR(VLOOKUP(B158,'Planilla Mes anterior'!$CX:$CY,2,0),0)</f>
        <v>13311219</v>
      </c>
      <c r="AJ158" s="95">
        <v>0</v>
      </c>
    </row>
    <row r="159" spans="1:36" x14ac:dyDescent="0.3">
      <c r="A159" s="81">
        <v>90705097</v>
      </c>
      <c r="B159" s="5">
        <v>1104135244</v>
      </c>
      <c r="C159" s="36" t="s">
        <v>1528</v>
      </c>
      <c r="D159" s="36" t="s">
        <v>3456</v>
      </c>
      <c r="E159" s="39">
        <v>56</v>
      </c>
      <c r="F159" s="37">
        <v>0</v>
      </c>
      <c r="G159" s="37">
        <v>0</v>
      </c>
      <c r="H159" s="38">
        <v>16445398</v>
      </c>
      <c r="I159" s="39">
        <v>16445398</v>
      </c>
      <c r="J159" s="38">
        <v>864900</v>
      </c>
      <c r="K159" s="39">
        <v>17310298</v>
      </c>
      <c r="L159" s="39">
        <v>6924119</v>
      </c>
      <c r="M159" s="39"/>
      <c r="N159" s="39"/>
      <c r="O159" s="39"/>
      <c r="P159" s="38">
        <v>16166952</v>
      </c>
      <c r="Q159" s="39">
        <v>0</v>
      </c>
      <c r="R159" s="39">
        <v>0</v>
      </c>
      <c r="S159" s="40"/>
      <c r="T159" s="38">
        <v>0</v>
      </c>
      <c r="U159" s="40"/>
      <c r="V159" s="40">
        <v>657816</v>
      </c>
      <c r="W159" s="42"/>
      <c r="X159" s="40"/>
      <c r="Y159" s="40">
        <v>657816</v>
      </c>
      <c r="Z159" s="42"/>
      <c r="AA159" s="40"/>
      <c r="AB159" s="40"/>
      <c r="AC159" s="40">
        <v>164600</v>
      </c>
      <c r="AD159" s="42"/>
      <c r="AF159">
        <f>VLOOKUP(A159,Devengos!$A$4:$I$389,9,0)</f>
        <v>11404053</v>
      </c>
      <c r="AG159">
        <f t="shared" si="134"/>
        <v>11404053</v>
      </c>
      <c r="AH159">
        <f>IFERROR(VLOOKUP(B159,'Planilla Mes anterior'!$CX:$CY,2,0),0)</f>
        <v>16166952</v>
      </c>
      <c r="AJ159" s="95">
        <v>0</v>
      </c>
    </row>
    <row r="160" spans="1:36" x14ac:dyDescent="0.3">
      <c r="A160" s="81">
        <v>90705201</v>
      </c>
      <c r="B160" s="5">
        <v>1127619088</v>
      </c>
      <c r="C160" s="36" t="s">
        <v>1533</v>
      </c>
      <c r="D160" s="36" t="s">
        <v>3456</v>
      </c>
      <c r="E160" s="39">
        <v>30</v>
      </c>
      <c r="F160" s="37">
        <v>0</v>
      </c>
      <c r="G160" s="37">
        <v>0</v>
      </c>
      <c r="H160" s="38">
        <v>7431167</v>
      </c>
      <c r="I160" s="39">
        <v>7431167</v>
      </c>
      <c r="J160" s="38">
        <v>939227</v>
      </c>
      <c r="K160" s="39">
        <v>8370394</v>
      </c>
      <c r="L160" s="39">
        <v>3348158</v>
      </c>
      <c r="M160" s="39"/>
      <c r="N160" s="39"/>
      <c r="O160" s="39"/>
      <c r="P160" s="38">
        <v>7431167</v>
      </c>
      <c r="Q160" s="39">
        <v>0</v>
      </c>
      <c r="R160" s="39">
        <v>0</v>
      </c>
      <c r="S160" s="40"/>
      <c r="T160" s="38">
        <v>0</v>
      </c>
      <c r="U160" s="40"/>
      <c r="V160" s="40">
        <v>297247</v>
      </c>
      <c r="W160" s="42"/>
      <c r="X160" s="40"/>
      <c r="Y160" s="40">
        <v>297247</v>
      </c>
      <c r="Z160" s="42"/>
      <c r="AA160" s="40"/>
      <c r="AB160" s="40"/>
      <c r="AC160" s="40">
        <v>74400</v>
      </c>
      <c r="AD160" s="42"/>
      <c r="AF160">
        <f>VLOOKUP(A160,Devengos!$A$4:$I$389,9,0)</f>
        <v>7431167</v>
      </c>
      <c r="AG160">
        <f t="shared" si="134"/>
        <v>7431167</v>
      </c>
      <c r="AH160">
        <f>IFERROR(VLOOKUP(B160,'Planilla Mes anterior'!$CX:$CY,2,0),0)</f>
        <v>7431167</v>
      </c>
      <c r="AJ160" s="95">
        <v>0</v>
      </c>
    </row>
    <row r="161" spans="1:36" x14ac:dyDescent="0.3">
      <c r="A161" s="81">
        <v>90705202</v>
      </c>
      <c r="B161" s="5">
        <v>52902520</v>
      </c>
      <c r="C161" s="36" t="s">
        <v>1537</v>
      </c>
      <c r="D161" s="36" t="s">
        <v>3456</v>
      </c>
      <c r="E161" s="39">
        <v>30</v>
      </c>
      <c r="F161" s="37">
        <v>2</v>
      </c>
      <c r="G161" s="37">
        <v>0</v>
      </c>
      <c r="H161" s="38">
        <v>7121778</v>
      </c>
      <c r="I161" s="39">
        <v>7121778</v>
      </c>
      <c r="J161" s="38">
        <v>776900</v>
      </c>
      <c r="K161" s="39">
        <v>7898678</v>
      </c>
      <c r="L161" s="39">
        <v>3159471</v>
      </c>
      <c r="M161" s="39"/>
      <c r="N161" s="39"/>
      <c r="O161" s="39"/>
      <c r="P161" s="38">
        <v>7630476</v>
      </c>
      <c r="Q161" s="39">
        <v>508698</v>
      </c>
      <c r="R161" s="39">
        <v>0</v>
      </c>
      <c r="S161" s="40"/>
      <c r="T161" s="38">
        <v>0</v>
      </c>
      <c r="U161" s="40"/>
      <c r="V161" s="40">
        <v>305219</v>
      </c>
      <c r="W161" s="42"/>
      <c r="X161" s="40"/>
      <c r="Y161" s="40">
        <v>305219</v>
      </c>
      <c r="Z161" s="42"/>
      <c r="AA161" s="40"/>
      <c r="AB161" s="40"/>
      <c r="AC161" s="40">
        <v>76600</v>
      </c>
      <c r="AD161" s="42"/>
      <c r="AF161">
        <f>VLOOKUP(A161,Devengos!$A$4:$I$389,9,0)</f>
        <v>7630476</v>
      </c>
      <c r="AG161">
        <f t="shared" si="134"/>
        <v>7630476</v>
      </c>
      <c r="AH161">
        <f>IFERROR(VLOOKUP(B161,'Planilla Mes anterior'!$CX:$CY,2,0),0)</f>
        <v>7630476</v>
      </c>
      <c r="AJ161" s="95">
        <v>0</v>
      </c>
    </row>
    <row r="162" spans="1:36" x14ac:dyDescent="0.3">
      <c r="A162" s="81">
        <v>90705625</v>
      </c>
      <c r="B162" s="5">
        <v>1036955243.0000001</v>
      </c>
      <c r="C162" s="36" t="s">
        <v>1544</v>
      </c>
      <c r="D162" s="36" t="s">
        <v>3456</v>
      </c>
      <c r="E162" s="39">
        <v>30</v>
      </c>
      <c r="F162" s="37">
        <v>0</v>
      </c>
      <c r="G162" s="37">
        <v>0</v>
      </c>
      <c r="H162" s="38">
        <v>11879399</v>
      </c>
      <c r="I162" s="39">
        <v>11879399</v>
      </c>
      <c r="J162" s="38">
        <v>819100</v>
      </c>
      <c r="K162" s="39">
        <v>12698499</v>
      </c>
      <c r="L162" s="39">
        <v>5079400</v>
      </c>
      <c r="M162" s="39"/>
      <c r="N162" s="39"/>
      <c r="O162" s="39"/>
      <c r="P162" s="38">
        <v>11879399</v>
      </c>
      <c r="Q162" s="39">
        <v>0</v>
      </c>
      <c r="R162" s="39">
        <v>0</v>
      </c>
      <c r="S162" s="40"/>
      <c r="T162" s="38">
        <v>0</v>
      </c>
      <c r="U162" s="40"/>
      <c r="V162" s="40">
        <v>475176</v>
      </c>
      <c r="W162" s="42"/>
      <c r="X162" s="40"/>
      <c r="Y162" s="40">
        <v>475176</v>
      </c>
      <c r="Z162" s="42"/>
      <c r="AA162" s="40"/>
      <c r="AB162" s="40"/>
      <c r="AC162" s="40">
        <v>118800</v>
      </c>
      <c r="AD162" s="42"/>
      <c r="AF162">
        <f>VLOOKUP(A162,Devengos!$A$4:$I$389,9,0)</f>
        <v>11879399</v>
      </c>
      <c r="AG162">
        <f t="shared" si="134"/>
        <v>11879399</v>
      </c>
      <c r="AH162">
        <f>IFERROR(VLOOKUP(B162,'Planilla Mes anterior'!$CX:$CY,2,0),0)</f>
        <v>11879399</v>
      </c>
      <c r="AJ162" s="95">
        <v>0</v>
      </c>
    </row>
    <row r="163" spans="1:36" x14ac:dyDescent="0.3">
      <c r="A163" s="81">
        <v>90706605</v>
      </c>
      <c r="B163" s="5">
        <v>1040749900.9999999</v>
      </c>
      <c r="C163" s="36" t="s">
        <v>1549</v>
      </c>
      <c r="D163" s="36" t="s">
        <v>3344</v>
      </c>
      <c r="E163" s="39">
        <v>30</v>
      </c>
      <c r="F163" s="37">
        <v>0</v>
      </c>
      <c r="G163" s="37">
        <v>0</v>
      </c>
      <c r="H163" s="38">
        <v>22761765</v>
      </c>
      <c r="I163" s="39">
        <v>15933235</v>
      </c>
      <c r="J163" s="38">
        <v>859700</v>
      </c>
      <c r="K163" s="39">
        <v>23621465</v>
      </c>
      <c r="L163" s="39">
        <v>9448586</v>
      </c>
      <c r="M163" s="39"/>
      <c r="N163" s="39"/>
      <c r="O163" s="39"/>
      <c r="P163" s="38">
        <v>15933236</v>
      </c>
      <c r="Q163" s="39">
        <v>0</v>
      </c>
      <c r="R163" s="39">
        <v>0</v>
      </c>
      <c r="S163" s="40"/>
      <c r="T163" s="38"/>
      <c r="U163" s="40"/>
      <c r="V163" s="40">
        <v>637329</v>
      </c>
      <c r="W163" s="42"/>
      <c r="X163" s="40"/>
      <c r="Y163" s="40">
        <v>637329</v>
      </c>
      <c r="Z163" s="42"/>
      <c r="AA163" s="40"/>
      <c r="AB163" s="40"/>
      <c r="AC163" s="40">
        <v>159400</v>
      </c>
      <c r="AD163" s="42"/>
      <c r="AF163">
        <f>VLOOKUP(A163,Devengos!$A$4:$I$389,9,0)</f>
        <v>22761765</v>
      </c>
      <c r="AG163">
        <f t="shared" si="134"/>
        <v>15933236</v>
      </c>
      <c r="AH163">
        <f>IFERROR(VLOOKUP(B163,'Planilla Mes anterior'!$CX:$CY,2,0),0)</f>
        <v>15933236</v>
      </c>
      <c r="AJ163" s="95">
        <v>0</v>
      </c>
    </row>
    <row r="164" spans="1:36" x14ac:dyDescent="0.3">
      <c r="A164" s="81">
        <v>90706611</v>
      </c>
      <c r="B164" s="5">
        <v>1036964940.9999999</v>
      </c>
      <c r="C164" s="36" t="s">
        <v>1554</v>
      </c>
      <c r="D164" s="36" t="s">
        <v>3456</v>
      </c>
      <c r="E164" s="39">
        <v>30</v>
      </c>
      <c r="F164" s="37">
        <v>0</v>
      </c>
      <c r="G164" s="37">
        <v>0</v>
      </c>
      <c r="H164" s="38">
        <v>12609059</v>
      </c>
      <c r="I164" s="39">
        <v>12609059</v>
      </c>
      <c r="J164" s="38">
        <v>826500</v>
      </c>
      <c r="K164" s="39">
        <v>13435559</v>
      </c>
      <c r="L164" s="39">
        <v>5374224</v>
      </c>
      <c r="M164" s="39"/>
      <c r="N164" s="39"/>
      <c r="O164" s="39"/>
      <c r="P164" s="38">
        <v>12609059</v>
      </c>
      <c r="Q164" s="39">
        <v>0</v>
      </c>
      <c r="R164" s="39">
        <v>0</v>
      </c>
      <c r="S164" s="40"/>
      <c r="T164" s="38">
        <v>0</v>
      </c>
      <c r="U164" s="40"/>
      <c r="V164" s="40">
        <v>504362</v>
      </c>
      <c r="W164" s="42"/>
      <c r="X164" s="40"/>
      <c r="Y164" s="40">
        <v>504362</v>
      </c>
      <c r="Z164" s="42"/>
      <c r="AA164" s="40"/>
      <c r="AB164" s="40"/>
      <c r="AC164" s="40">
        <v>126200</v>
      </c>
      <c r="AD164" s="42"/>
      <c r="AF164">
        <f>VLOOKUP(A164,Devengos!$A$4:$I$389,9,0)</f>
        <v>12609059</v>
      </c>
      <c r="AG164">
        <f t="shared" si="134"/>
        <v>12609059</v>
      </c>
      <c r="AH164">
        <f>IFERROR(VLOOKUP(B164,'Planilla Mes anterior'!$CX:$CY,2,0),0)</f>
        <v>12609059</v>
      </c>
      <c r="AJ164" s="95">
        <v>0</v>
      </c>
    </row>
    <row r="165" spans="1:36" x14ac:dyDescent="0.3">
      <c r="A165" s="81">
        <v>90706615</v>
      </c>
      <c r="B165" s="5">
        <v>15370976</v>
      </c>
      <c r="C165" s="36" t="s">
        <v>1558</v>
      </c>
      <c r="D165" s="36" t="s">
        <v>3344</v>
      </c>
      <c r="E165" s="39">
        <v>30</v>
      </c>
      <c r="F165" s="37">
        <v>1</v>
      </c>
      <c r="G165" s="37">
        <v>0</v>
      </c>
      <c r="H165" s="38">
        <v>22003040</v>
      </c>
      <c r="I165" s="39">
        <v>15402128</v>
      </c>
      <c r="J165" s="38">
        <v>859900</v>
      </c>
      <c r="K165" s="39">
        <v>22862940</v>
      </c>
      <c r="L165" s="39">
        <v>9145176</v>
      </c>
      <c r="M165" s="39"/>
      <c r="N165" s="39"/>
      <c r="O165" s="39"/>
      <c r="P165" s="38">
        <v>15938560</v>
      </c>
      <c r="Q165" s="39">
        <v>531285</v>
      </c>
      <c r="R165" s="39">
        <v>0</v>
      </c>
      <c r="S165" s="40"/>
      <c r="T165" s="38"/>
      <c r="U165" s="40"/>
      <c r="V165" s="40">
        <v>637336</v>
      </c>
      <c r="W165" s="42"/>
      <c r="X165" s="40"/>
      <c r="Y165" s="40">
        <v>637336</v>
      </c>
      <c r="Z165" s="42"/>
      <c r="AA165" s="40"/>
      <c r="AB165" s="40"/>
      <c r="AC165" s="40">
        <v>159600</v>
      </c>
      <c r="AD165" s="42"/>
      <c r="AF165">
        <f>VLOOKUP(A165,Devengos!$A$4:$I$389,9,0)</f>
        <v>22761765</v>
      </c>
      <c r="AG165">
        <f t="shared" si="134"/>
        <v>15933236</v>
      </c>
      <c r="AH165">
        <f>IFERROR(VLOOKUP(B165,'Planilla Mes anterior'!$CX:$CY,2,0),0)</f>
        <v>15938560</v>
      </c>
      <c r="AJ165" s="95">
        <v>0</v>
      </c>
    </row>
    <row r="166" spans="1:36" x14ac:dyDescent="0.3">
      <c r="A166" s="81">
        <v>90706664</v>
      </c>
      <c r="B166" s="5">
        <v>1102864229</v>
      </c>
      <c r="C166" s="36" t="s">
        <v>1563</v>
      </c>
      <c r="D166" s="36" t="s">
        <v>3456</v>
      </c>
      <c r="E166" s="39">
        <v>30</v>
      </c>
      <c r="F166" s="37">
        <v>0</v>
      </c>
      <c r="G166" s="37">
        <v>0</v>
      </c>
      <c r="H166" s="38">
        <v>10832052</v>
      </c>
      <c r="I166" s="39">
        <v>10832052</v>
      </c>
      <c r="J166" s="38">
        <v>808700</v>
      </c>
      <c r="K166" s="39">
        <v>11640752</v>
      </c>
      <c r="L166" s="39">
        <v>4656301</v>
      </c>
      <c r="M166" s="39"/>
      <c r="N166" s="39"/>
      <c r="O166" s="39"/>
      <c r="P166" s="38">
        <v>10832052</v>
      </c>
      <c r="Q166" s="39">
        <v>0</v>
      </c>
      <c r="R166" s="39">
        <v>0</v>
      </c>
      <c r="S166" s="40"/>
      <c r="T166" s="38">
        <v>0</v>
      </c>
      <c r="U166" s="40"/>
      <c r="V166" s="40">
        <v>433282</v>
      </c>
      <c r="W166" s="42"/>
      <c r="X166" s="40"/>
      <c r="Y166" s="40">
        <v>433282</v>
      </c>
      <c r="Z166" s="42"/>
      <c r="AA166" s="40"/>
      <c r="AB166" s="40"/>
      <c r="AC166" s="40">
        <v>108400</v>
      </c>
      <c r="AD166" s="42"/>
      <c r="AF166">
        <f>VLOOKUP(A166,Devengos!$A$4:$I$389,9,0)</f>
        <v>10832052</v>
      </c>
      <c r="AG166">
        <f t="shared" si="134"/>
        <v>10832052</v>
      </c>
      <c r="AH166">
        <f>IFERROR(VLOOKUP(B166,'Planilla Mes anterior'!$CX:$CY,2,0),0)</f>
        <v>10832052</v>
      </c>
      <c r="AJ166" s="95">
        <v>0</v>
      </c>
    </row>
    <row r="167" spans="1:36" x14ac:dyDescent="0.3">
      <c r="A167" s="81">
        <v>90706678</v>
      </c>
      <c r="B167" s="5">
        <v>1143344072</v>
      </c>
      <c r="C167" s="36" t="s">
        <v>1567</v>
      </c>
      <c r="D167" s="36" t="s">
        <v>3344</v>
      </c>
      <c r="E167" s="39">
        <v>27</v>
      </c>
      <c r="F167" s="37">
        <v>5</v>
      </c>
      <c r="G167" s="37">
        <v>0</v>
      </c>
      <c r="H167" s="38">
        <v>16691961</v>
      </c>
      <c r="I167" s="39">
        <v>11684373</v>
      </c>
      <c r="J167" s="38">
        <v>832896</v>
      </c>
      <c r="K167" s="39">
        <v>17524857</v>
      </c>
      <c r="L167" s="39">
        <v>7009943</v>
      </c>
      <c r="M167" s="39"/>
      <c r="N167" s="39"/>
      <c r="O167" s="39"/>
      <c r="P167" s="38">
        <v>15933236</v>
      </c>
      <c r="Q167" s="39">
        <v>2655539</v>
      </c>
      <c r="R167" s="39">
        <v>0</v>
      </c>
      <c r="S167" s="40"/>
      <c r="T167" s="38"/>
      <c r="U167" s="40"/>
      <c r="V167" s="40">
        <v>616086</v>
      </c>
      <c r="W167" s="42"/>
      <c r="X167" s="40"/>
      <c r="Y167" s="40">
        <v>616086</v>
      </c>
      <c r="Z167" s="42"/>
      <c r="AA167" s="40"/>
      <c r="AB167" s="40"/>
      <c r="AC167" s="40">
        <v>154200</v>
      </c>
      <c r="AD167" s="42"/>
      <c r="AF167">
        <f>VLOOKUP(A167,Devengos!$A$4:$I$389,9,0)</f>
        <v>22761765</v>
      </c>
      <c r="AG167">
        <f t="shared" si="134"/>
        <v>15933236</v>
      </c>
      <c r="AH167">
        <f>IFERROR(VLOOKUP(B167,'Planilla Mes anterior'!$CX:$CY,2,0),0)</f>
        <v>15933236</v>
      </c>
      <c r="AJ167" s="95">
        <v>5200</v>
      </c>
    </row>
    <row r="168" spans="1:36" x14ac:dyDescent="0.3">
      <c r="A168" s="81">
        <v>90706679</v>
      </c>
      <c r="B168" s="5">
        <v>43562043</v>
      </c>
      <c r="C168" s="36" t="s">
        <v>1571</v>
      </c>
      <c r="D168" s="36" t="s">
        <v>3344</v>
      </c>
      <c r="E168" s="39">
        <v>30</v>
      </c>
      <c r="F168" s="37">
        <v>6</v>
      </c>
      <c r="G168" s="37">
        <v>0</v>
      </c>
      <c r="H168" s="38">
        <v>18209412</v>
      </c>
      <c r="I168" s="39">
        <v>12746588</v>
      </c>
      <c r="J168" s="38">
        <v>4772958</v>
      </c>
      <c r="K168" s="39">
        <v>22982370</v>
      </c>
      <c r="L168" s="39">
        <v>9192948</v>
      </c>
      <c r="M168" s="39"/>
      <c r="N168" s="39"/>
      <c r="O168" s="39"/>
      <c r="P168" s="38">
        <v>15939065</v>
      </c>
      <c r="Q168" s="39">
        <v>3187813</v>
      </c>
      <c r="R168" s="39">
        <v>0</v>
      </c>
      <c r="S168" s="40"/>
      <c r="T168" s="38"/>
      <c r="U168" s="40"/>
      <c r="V168" s="40">
        <v>637376</v>
      </c>
      <c r="W168" s="42"/>
      <c r="X168" s="40"/>
      <c r="Y168" s="40">
        <v>637376</v>
      </c>
      <c r="Z168" s="42"/>
      <c r="AA168" s="40"/>
      <c r="AB168" s="40"/>
      <c r="AC168" s="40">
        <v>159600</v>
      </c>
      <c r="AD168" s="42"/>
      <c r="AF168">
        <f>VLOOKUP(A168,Devengos!$A$4:$I$389,9,0)</f>
        <v>22761765</v>
      </c>
      <c r="AG168">
        <f t="shared" si="134"/>
        <v>15933236</v>
      </c>
      <c r="AH168">
        <f>IFERROR(VLOOKUP(B168,'Planilla Mes anterior'!$CX:$CY,2,0),0)</f>
        <v>15939065</v>
      </c>
      <c r="AJ168" s="95">
        <v>0</v>
      </c>
    </row>
    <row r="169" spans="1:36" x14ac:dyDescent="0.3">
      <c r="A169" s="81">
        <v>90706706</v>
      </c>
      <c r="B169" s="5">
        <v>1013672144.9999999</v>
      </c>
      <c r="C169" s="36" t="s">
        <v>1575</v>
      </c>
      <c r="D169" s="36" t="s">
        <v>3456</v>
      </c>
      <c r="E169" s="39">
        <v>30</v>
      </c>
      <c r="F169" s="37">
        <v>0</v>
      </c>
      <c r="G169" s="37">
        <v>0</v>
      </c>
      <c r="H169" s="38">
        <v>4092088</v>
      </c>
      <c r="I169" s="39">
        <v>4092088</v>
      </c>
      <c r="J169" s="38">
        <v>700300</v>
      </c>
      <c r="K169" s="39">
        <v>4792388</v>
      </c>
      <c r="L169" s="39">
        <v>1916955</v>
      </c>
      <c r="M169" s="39"/>
      <c r="N169" s="39"/>
      <c r="O169" s="39"/>
      <c r="P169" s="38">
        <v>5479712</v>
      </c>
      <c r="Q169" s="39">
        <v>0</v>
      </c>
      <c r="R169" s="39">
        <v>0</v>
      </c>
      <c r="S169" s="40"/>
      <c r="T169" s="38">
        <v>0</v>
      </c>
      <c r="U169" s="40"/>
      <c r="V169" s="40">
        <v>163684</v>
      </c>
      <c r="W169" s="42"/>
      <c r="X169" s="40"/>
      <c r="Y169" s="40">
        <v>163684</v>
      </c>
      <c r="Z169" s="42"/>
      <c r="AA169" s="40"/>
      <c r="AB169" s="40"/>
      <c r="AC169" s="40">
        <v>0</v>
      </c>
      <c r="AD169" s="42"/>
      <c r="AF169">
        <f>VLOOKUP(A169,Devengos!$A$4:$I$389,9,0)</f>
        <v>4368669</v>
      </c>
      <c r="AG169">
        <f t="shared" si="134"/>
        <v>4368669</v>
      </c>
      <c r="AH169">
        <f>IFERROR(VLOOKUP(B169,'Planilla Mes anterior'!$CX:$CY,2,0),0)</f>
        <v>5479712</v>
      </c>
      <c r="AJ169" s="95">
        <v>0</v>
      </c>
    </row>
    <row r="170" spans="1:36" x14ac:dyDescent="0.3">
      <c r="A170" s="81">
        <v>90706707</v>
      </c>
      <c r="B170" s="5">
        <v>1024507492</v>
      </c>
      <c r="C170" s="36" t="s">
        <v>1579</v>
      </c>
      <c r="D170" s="36" t="s">
        <v>3456</v>
      </c>
      <c r="E170" s="39">
        <v>30</v>
      </c>
      <c r="F170" s="37">
        <v>0</v>
      </c>
      <c r="G170" s="37">
        <v>2</v>
      </c>
      <c r="H170" s="38">
        <v>10503107</v>
      </c>
      <c r="I170" s="39">
        <v>10503107</v>
      </c>
      <c r="J170" s="38">
        <v>805500</v>
      </c>
      <c r="K170" s="39">
        <v>11308607</v>
      </c>
      <c r="L170" s="39">
        <v>4523443</v>
      </c>
      <c r="M170" s="39"/>
      <c r="N170" s="39"/>
      <c r="O170" s="39"/>
      <c r="P170" s="38">
        <v>12186959</v>
      </c>
      <c r="Q170" s="39">
        <v>0</v>
      </c>
      <c r="R170" s="39">
        <v>0</v>
      </c>
      <c r="S170" s="40"/>
      <c r="T170" s="38">
        <v>0</v>
      </c>
      <c r="U170" s="40"/>
      <c r="V170" s="40">
        <v>420124</v>
      </c>
      <c r="W170" s="42"/>
      <c r="X170" s="40"/>
      <c r="Y170" s="40">
        <v>420124</v>
      </c>
      <c r="Z170" s="42"/>
      <c r="AA170" s="40"/>
      <c r="AB170" s="40"/>
      <c r="AC170" s="40">
        <v>105200</v>
      </c>
      <c r="AD170" s="42"/>
      <c r="AF170">
        <f>VLOOKUP(A170,Devengos!$A$4:$I$389,9,0)</f>
        <v>10244053</v>
      </c>
      <c r="AG170">
        <f t="shared" si="134"/>
        <v>10244053</v>
      </c>
      <c r="AH170">
        <f>IFERROR(VLOOKUP(B170,'Planilla Mes anterior'!$CX:$CY,2,0),0)</f>
        <v>12186959</v>
      </c>
      <c r="AJ170" s="95">
        <v>0</v>
      </c>
    </row>
    <row r="171" spans="1:36" x14ac:dyDescent="0.3">
      <c r="A171" s="81">
        <v>90706708</v>
      </c>
      <c r="B171" s="5">
        <v>1018442031.0000001</v>
      </c>
      <c r="C171" s="36" t="s">
        <v>1584</v>
      </c>
      <c r="D171" s="36" t="s">
        <v>3456</v>
      </c>
      <c r="E171" s="39">
        <v>30</v>
      </c>
      <c r="F171" s="37">
        <v>0</v>
      </c>
      <c r="G171" s="37">
        <v>0</v>
      </c>
      <c r="H171" s="38">
        <v>3465830</v>
      </c>
      <c r="I171" s="39">
        <v>3465830</v>
      </c>
      <c r="J171" s="38">
        <v>700300</v>
      </c>
      <c r="K171" s="39">
        <v>4166130</v>
      </c>
      <c r="L171" s="39">
        <v>1666452</v>
      </c>
      <c r="M171" s="39"/>
      <c r="N171" s="39"/>
      <c r="O171" s="39"/>
      <c r="P171" s="38">
        <v>3469700</v>
      </c>
      <c r="Q171" s="39">
        <v>0</v>
      </c>
      <c r="R171" s="39">
        <v>0</v>
      </c>
      <c r="S171" s="40"/>
      <c r="T171" s="38">
        <v>0</v>
      </c>
      <c r="U171" s="40"/>
      <c r="V171" s="40">
        <v>138633</v>
      </c>
      <c r="W171" s="42"/>
      <c r="X171" s="40"/>
      <c r="Y171" s="40">
        <v>138633</v>
      </c>
      <c r="Z171" s="42"/>
      <c r="AA171" s="40"/>
      <c r="AB171" s="40"/>
      <c r="AC171" s="40">
        <v>0</v>
      </c>
      <c r="AD171" s="42"/>
      <c r="AF171">
        <f>VLOOKUP(A171,Devengos!$A$4:$I$389,9,0)</f>
        <v>3465830</v>
      </c>
      <c r="AG171">
        <f t="shared" si="134"/>
        <v>3465830</v>
      </c>
      <c r="AH171">
        <f>IFERROR(VLOOKUP(B171,'Planilla Mes anterior'!$CX:$CY,2,0),0)</f>
        <v>3469700</v>
      </c>
      <c r="AJ171" s="95">
        <v>0</v>
      </c>
    </row>
    <row r="172" spans="1:36" x14ac:dyDescent="0.3">
      <c r="A172" s="81">
        <v>90706709</v>
      </c>
      <c r="B172" s="5">
        <v>1098623174</v>
      </c>
      <c r="C172" s="36" t="s">
        <v>1589</v>
      </c>
      <c r="D172" s="36" t="s">
        <v>3456</v>
      </c>
      <c r="E172" s="39">
        <v>55</v>
      </c>
      <c r="F172" s="37">
        <v>0</v>
      </c>
      <c r="G172" s="37">
        <v>0</v>
      </c>
      <c r="H172" s="38">
        <v>19628493</v>
      </c>
      <c r="I172" s="39">
        <v>19628493</v>
      </c>
      <c r="J172" s="38">
        <v>896700</v>
      </c>
      <c r="K172" s="39">
        <v>20525193</v>
      </c>
      <c r="L172" s="39">
        <v>8210077</v>
      </c>
      <c r="M172" s="39"/>
      <c r="N172" s="39"/>
      <c r="O172" s="39"/>
      <c r="P172" s="38">
        <v>14106668</v>
      </c>
      <c r="Q172" s="39">
        <v>0</v>
      </c>
      <c r="R172" s="39">
        <v>0</v>
      </c>
      <c r="S172" s="40"/>
      <c r="T172" s="38">
        <v>0</v>
      </c>
      <c r="U172" s="40"/>
      <c r="V172" s="40">
        <v>785140</v>
      </c>
      <c r="W172" s="42"/>
      <c r="X172" s="40"/>
      <c r="Y172" s="40">
        <v>785140</v>
      </c>
      <c r="Z172" s="42"/>
      <c r="AA172" s="40"/>
      <c r="AB172" s="40"/>
      <c r="AC172" s="40">
        <v>196400</v>
      </c>
      <c r="AD172" s="42"/>
      <c r="AF172">
        <f>VLOOKUP(A172,Devengos!$A$4:$I$389,9,0)</f>
        <v>10360007</v>
      </c>
      <c r="AG172">
        <f t="shared" si="134"/>
        <v>10360007</v>
      </c>
      <c r="AH172">
        <f>IFERROR(VLOOKUP(B172,'Planilla Mes anterior'!$CX:$CY,2,0),0)</f>
        <v>14106668</v>
      </c>
      <c r="AJ172" s="95">
        <v>0</v>
      </c>
    </row>
    <row r="173" spans="1:36" x14ac:dyDescent="0.3">
      <c r="A173" s="81">
        <v>90706755</v>
      </c>
      <c r="B173" s="5">
        <v>1098646909</v>
      </c>
      <c r="C173" s="36" t="s">
        <v>1594</v>
      </c>
      <c r="D173" s="36" t="s">
        <v>3456</v>
      </c>
      <c r="E173" s="39">
        <v>30</v>
      </c>
      <c r="F173" s="37">
        <v>0</v>
      </c>
      <c r="G173" s="37">
        <v>0</v>
      </c>
      <c r="H173" s="38">
        <v>6498463</v>
      </c>
      <c r="I173" s="39">
        <v>6498463</v>
      </c>
      <c r="J173" s="38">
        <v>700300</v>
      </c>
      <c r="K173" s="39">
        <v>7198763</v>
      </c>
      <c r="L173" s="39">
        <v>2879505</v>
      </c>
      <c r="M173" s="39"/>
      <c r="N173" s="39"/>
      <c r="O173" s="39"/>
      <c r="P173" s="38">
        <v>6498463</v>
      </c>
      <c r="Q173" s="39">
        <v>0</v>
      </c>
      <c r="R173" s="39">
        <v>0</v>
      </c>
      <c r="S173" s="40"/>
      <c r="T173" s="38">
        <v>0</v>
      </c>
      <c r="U173" s="40"/>
      <c r="V173" s="40">
        <v>259939</v>
      </c>
      <c r="W173" s="42"/>
      <c r="X173" s="40"/>
      <c r="Y173" s="40">
        <v>259939</v>
      </c>
      <c r="Z173" s="42"/>
      <c r="AA173" s="40"/>
      <c r="AB173" s="40"/>
      <c r="AC173" s="40">
        <v>0</v>
      </c>
      <c r="AD173" s="42"/>
      <c r="AF173">
        <f>VLOOKUP(A173,Devengos!$A$4:$I$389,9,0)</f>
        <v>6498463</v>
      </c>
      <c r="AG173">
        <f t="shared" si="134"/>
        <v>6498463</v>
      </c>
      <c r="AH173">
        <f>IFERROR(VLOOKUP(B173,'Planilla Mes anterior'!$CX:$CY,2,0),0)</f>
        <v>6498463</v>
      </c>
      <c r="AJ173" s="95">
        <v>0</v>
      </c>
    </row>
    <row r="174" spans="1:36" x14ac:dyDescent="0.3">
      <c r="A174" s="81">
        <v>90707152</v>
      </c>
      <c r="B174" s="5">
        <v>1020749778</v>
      </c>
      <c r="C174" s="36" t="s">
        <v>1598</v>
      </c>
      <c r="D174" s="36" t="s">
        <v>3456</v>
      </c>
      <c r="E174" s="39">
        <v>30</v>
      </c>
      <c r="F174" s="37">
        <v>0</v>
      </c>
      <c r="G174" s="37">
        <v>0</v>
      </c>
      <c r="H174" s="38">
        <v>5920528</v>
      </c>
      <c r="I174" s="39">
        <v>5920528</v>
      </c>
      <c r="J174" s="38">
        <v>700300</v>
      </c>
      <c r="K174" s="39">
        <v>6620828</v>
      </c>
      <c r="L174" s="39">
        <v>2648331</v>
      </c>
      <c r="M174" s="39"/>
      <c r="N174" s="39"/>
      <c r="O174" s="39"/>
      <c r="P174" s="38">
        <v>5920528</v>
      </c>
      <c r="Q174" s="39">
        <v>0</v>
      </c>
      <c r="R174" s="39">
        <v>0</v>
      </c>
      <c r="S174" s="40"/>
      <c r="T174" s="38">
        <v>0</v>
      </c>
      <c r="U174" s="40"/>
      <c r="V174" s="40">
        <v>236821</v>
      </c>
      <c r="W174" s="42"/>
      <c r="X174" s="40"/>
      <c r="Y174" s="40">
        <v>236821</v>
      </c>
      <c r="Z174" s="42"/>
      <c r="AA174" s="40"/>
      <c r="AB174" s="40"/>
      <c r="AC174" s="40">
        <v>0</v>
      </c>
      <c r="AD174" s="42"/>
      <c r="AF174">
        <f>VLOOKUP(A174,Devengos!$A$4:$I$389,9,0)</f>
        <v>5920528</v>
      </c>
      <c r="AG174">
        <f t="shared" si="134"/>
        <v>5920528</v>
      </c>
      <c r="AH174">
        <f>IFERROR(VLOOKUP(B174,'Planilla Mes anterior'!$CX:$CY,2,0),0)</f>
        <v>5920528</v>
      </c>
      <c r="AJ174" s="95">
        <v>0</v>
      </c>
    </row>
    <row r="175" spans="1:36" x14ac:dyDescent="0.3">
      <c r="A175" s="81">
        <v>90707181</v>
      </c>
      <c r="B175" s="5">
        <v>1061749466</v>
      </c>
      <c r="C175" s="36" t="s">
        <v>1603</v>
      </c>
      <c r="D175" s="36" t="s">
        <v>3344</v>
      </c>
      <c r="E175" s="39">
        <v>37</v>
      </c>
      <c r="F175" s="37">
        <v>0</v>
      </c>
      <c r="G175" s="37">
        <v>0</v>
      </c>
      <c r="H175" s="38">
        <v>23321765</v>
      </c>
      <c r="I175" s="39">
        <v>16325235</v>
      </c>
      <c r="J175" s="38">
        <v>1466788</v>
      </c>
      <c r="K175" s="39">
        <v>24788553</v>
      </c>
      <c r="L175" s="39">
        <v>9915421</v>
      </c>
      <c r="M175" s="39"/>
      <c r="N175" s="39"/>
      <c r="O175" s="39"/>
      <c r="P175" s="38">
        <v>15933236</v>
      </c>
      <c r="Q175" s="39">
        <v>0</v>
      </c>
      <c r="R175" s="39">
        <v>0</v>
      </c>
      <c r="S175" s="40"/>
      <c r="T175" s="38"/>
      <c r="U175" s="40"/>
      <c r="V175" s="40">
        <v>653009</v>
      </c>
      <c r="W175" s="42"/>
      <c r="X175" s="40"/>
      <c r="Y175" s="40">
        <v>653009</v>
      </c>
      <c r="Z175" s="42"/>
      <c r="AA175" s="40"/>
      <c r="AB175" s="40"/>
      <c r="AC175" s="40">
        <v>163400</v>
      </c>
      <c r="AD175" s="42"/>
      <c r="AF175">
        <f>VLOOKUP(A175,Devengos!$A$4:$I$389,9,0)</f>
        <v>22761765</v>
      </c>
      <c r="AG175">
        <f t="shared" si="134"/>
        <v>15933236</v>
      </c>
      <c r="AH175">
        <f>IFERROR(VLOOKUP(B175,'Planilla Mes anterior'!$CX:$CY,2,0),0)</f>
        <v>15933236</v>
      </c>
      <c r="AJ175" s="95">
        <v>0</v>
      </c>
    </row>
    <row r="176" spans="1:36" x14ac:dyDescent="0.3">
      <c r="A176" s="81">
        <v>90707182</v>
      </c>
      <c r="B176" s="5">
        <v>1152710322</v>
      </c>
      <c r="C176" s="36" t="s">
        <v>1607</v>
      </c>
      <c r="D176" s="36" t="s">
        <v>3344</v>
      </c>
      <c r="E176" s="39">
        <v>30</v>
      </c>
      <c r="F176" s="37">
        <v>0</v>
      </c>
      <c r="G176" s="37">
        <v>0</v>
      </c>
      <c r="H176" s="38">
        <v>22761765</v>
      </c>
      <c r="I176" s="39">
        <v>15933235</v>
      </c>
      <c r="J176" s="38">
        <v>859700</v>
      </c>
      <c r="K176" s="39">
        <v>23621465</v>
      </c>
      <c r="L176" s="39">
        <v>9448586</v>
      </c>
      <c r="M176" s="39"/>
      <c r="N176" s="39"/>
      <c r="O176" s="39"/>
      <c r="P176" s="38">
        <v>15933236</v>
      </c>
      <c r="Q176" s="39">
        <v>0</v>
      </c>
      <c r="R176" s="39">
        <v>0</v>
      </c>
      <c r="S176" s="40"/>
      <c r="T176" s="38"/>
      <c r="U176" s="40"/>
      <c r="V176" s="40">
        <v>637329</v>
      </c>
      <c r="W176" s="42"/>
      <c r="X176" s="40"/>
      <c r="Y176" s="40">
        <v>637329</v>
      </c>
      <c r="Z176" s="42"/>
      <c r="AA176" s="40"/>
      <c r="AB176" s="40"/>
      <c r="AC176" s="40">
        <v>159400</v>
      </c>
      <c r="AD176" s="42"/>
      <c r="AF176">
        <f>VLOOKUP(A176,Devengos!$A$4:$I$389,9,0)</f>
        <v>22761765</v>
      </c>
      <c r="AG176">
        <f t="shared" si="134"/>
        <v>15933236</v>
      </c>
      <c r="AH176">
        <f>IFERROR(VLOOKUP(B176,'Planilla Mes anterior'!$CX:$CY,2,0),0)</f>
        <v>15933236</v>
      </c>
      <c r="AJ176" s="95">
        <v>0</v>
      </c>
    </row>
    <row r="177" spans="1:37" x14ac:dyDescent="0.3">
      <c r="A177" s="81">
        <v>90707578</v>
      </c>
      <c r="B177" s="5">
        <v>1033768580</v>
      </c>
      <c r="C177" s="36" t="s">
        <v>1611</v>
      </c>
      <c r="D177" s="36" t="s">
        <v>3456</v>
      </c>
      <c r="E177" s="39">
        <v>30</v>
      </c>
      <c r="F177" s="37">
        <v>4</v>
      </c>
      <c r="G177" s="37">
        <v>12</v>
      </c>
      <c r="H177" s="38">
        <v>6349622</v>
      </c>
      <c r="I177" s="39">
        <v>6349622</v>
      </c>
      <c r="J177" s="38">
        <v>774300</v>
      </c>
      <c r="K177" s="39">
        <v>7123922</v>
      </c>
      <c r="L177" s="39">
        <v>2849569</v>
      </c>
      <c r="M177" s="39"/>
      <c r="N177" s="39"/>
      <c r="O177" s="39"/>
      <c r="P177" s="38">
        <v>7650648</v>
      </c>
      <c r="Q177" s="39">
        <v>1020086</v>
      </c>
      <c r="R177" s="39">
        <v>0</v>
      </c>
      <c r="S177" s="40"/>
      <c r="T177" s="38">
        <v>0</v>
      </c>
      <c r="U177" s="40"/>
      <c r="V177" s="40">
        <v>294788</v>
      </c>
      <c r="W177" s="42"/>
      <c r="X177" s="40"/>
      <c r="Y177" s="40">
        <v>294788</v>
      </c>
      <c r="Z177" s="42"/>
      <c r="AA177" s="40"/>
      <c r="AB177" s="40"/>
      <c r="AC177" s="40">
        <v>74000</v>
      </c>
      <c r="AD177" s="42"/>
      <c r="AF177">
        <f>VLOOKUP(A177,Devengos!$A$4:$I$389,9,0)</f>
        <v>6948301</v>
      </c>
      <c r="AG177">
        <f t="shared" si="134"/>
        <v>6948301</v>
      </c>
      <c r="AH177">
        <f>IFERROR(VLOOKUP(B177,'Planilla Mes anterior'!$CX:$CY,2,0),0)</f>
        <v>7650648</v>
      </c>
      <c r="AJ177" s="95">
        <v>0</v>
      </c>
    </row>
    <row r="178" spans="1:37" x14ac:dyDescent="0.3">
      <c r="A178" s="81">
        <v>90707579</v>
      </c>
      <c r="B178" s="5">
        <v>32209912</v>
      </c>
      <c r="C178" s="36" t="s">
        <v>1615</v>
      </c>
      <c r="D178" s="36" t="s">
        <v>3344</v>
      </c>
      <c r="E178" s="39">
        <v>30</v>
      </c>
      <c r="F178" s="37">
        <v>0</v>
      </c>
      <c r="G178" s="37">
        <v>0</v>
      </c>
      <c r="H178" s="38">
        <v>22761765</v>
      </c>
      <c r="I178" s="39">
        <v>15933235</v>
      </c>
      <c r="J178" s="38">
        <v>859700</v>
      </c>
      <c r="K178" s="39">
        <v>23621465</v>
      </c>
      <c r="L178" s="39">
        <v>9448586</v>
      </c>
      <c r="M178" s="39"/>
      <c r="N178" s="39"/>
      <c r="O178" s="39"/>
      <c r="P178" s="38">
        <v>15933236</v>
      </c>
      <c r="Q178" s="39">
        <v>0</v>
      </c>
      <c r="R178" s="39">
        <v>0</v>
      </c>
      <c r="S178" s="40"/>
      <c r="T178" s="38"/>
      <c r="U178" s="40"/>
      <c r="V178" s="40">
        <v>637329</v>
      </c>
      <c r="W178" s="42"/>
      <c r="X178" s="40"/>
      <c r="Y178" s="40">
        <v>637329</v>
      </c>
      <c r="Z178" s="42"/>
      <c r="AA178" s="40"/>
      <c r="AB178" s="40"/>
      <c r="AC178" s="40">
        <v>159400</v>
      </c>
      <c r="AD178" s="42"/>
      <c r="AF178">
        <f>VLOOKUP(A178,Devengos!$A$4:$I$389,9,0)</f>
        <v>22761765</v>
      </c>
      <c r="AG178">
        <f t="shared" si="134"/>
        <v>15933236</v>
      </c>
      <c r="AH178">
        <f>IFERROR(VLOOKUP(B178,'Planilla Mes anterior'!$CX:$CY,2,0),0)</f>
        <v>15933236</v>
      </c>
      <c r="AJ178" s="95">
        <v>0</v>
      </c>
    </row>
    <row r="179" spans="1:37" x14ac:dyDescent="0.3">
      <c r="A179" s="81">
        <v>90707580</v>
      </c>
      <c r="B179" s="5">
        <v>98636676</v>
      </c>
      <c r="C179" s="36" t="s">
        <v>1619</v>
      </c>
      <c r="D179" s="36" t="s">
        <v>3344</v>
      </c>
      <c r="E179" s="39">
        <v>37</v>
      </c>
      <c r="F179" s="37">
        <v>0</v>
      </c>
      <c r="G179" s="37">
        <v>0</v>
      </c>
      <c r="H179" s="38">
        <v>23321765</v>
      </c>
      <c r="I179" s="39">
        <v>16325235</v>
      </c>
      <c r="J179" s="38">
        <v>863700</v>
      </c>
      <c r="K179" s="39">
        <v>24185465</v>
      </c>
      <c r="L179" s="39">
        <v>9674186</v>
      </c>
      <c r="M179" s="39"/>
      <c r="N179" s="39"/>
      <c r="O179" s="39"/>
      <c r="P179" s="38">
        <v>15933236</v>
      </c>
      <c r="Q179" s="39">
        <v>0</v>
      </c>
      <c r="R179" s="39">
        <v>0</v>
      </c>
      <c r="S179" s="40"/>
      <c r="T179" s="38"/>
      <c r="U179" s="40"/>
      <c r="V179" s="40">
        <v>653009</v>
      </c>
      <c r="W179" s="42"/>
      <c r="X179" s="40"/>
      <c r="Y179" s="40">
        <v>653009</v>
      </c>
      <c r="Z179" s="42"/>
      <c r="AA179" s="40"/>
      <c r="AB179" s="40"/>
      <c r="AC179" s="40">
        <v>163400</v>
      </c>
      <c r="AD179" s="42"/>
      <c r="AF179">
        <f>VLOOKUP(A179,Devengos!$A$4:$I$389,9,0)</f>
        <v>22761765</v>
      </c>
      <c r="AG179">
        <f t="shared" si="134"/>
        <v>15933236</v>
      </c>
      <c r="AH179">
        <f>IFERROR(VLOOKUP(B179,'Planilla Mes anterior'!$CX:$CY,2,0),0)</f>
        <v>15933236</v>
      </c>
      <c r="AJ179" s="95">
        <v>0</v>
      </c>
    </row>
    <row r="180" spans="1:37" x14ac:dyDescent="0.3">
      <c r="A180" s="81">
        <v>90707581</v>
      </c>
      <c r="B180" s="5">
        <v>1037608300</v>
      </c>
      <c r="C180" s="36" t="s">
        <v>1624</v>
      </c>
      <c r="D180" s="36" t="s">
        <v>3456</v>
      </c>
      <c r="E180" s="39">
        <v>37</v>
      </c>
      <c r="F180" s="37">
        <v>2</v>
      </c>
      <c r="G180" s="37">
        <v>0</v>
      </c>
      <c r="H180" s="38">
        <v>14578082</v>
      </c>
      <c r="I180" s="39">
        <v>14578082</v>
      </c>
      <c r="J180" s="38">
        <v>854100</v>
      </c>
      <c r="K180" s="39">
        <v>15432182</v>
      </c>
      <c r="L180" s="39">
        <v>6172873</v>
      </c>
      <c r="M180" s="39"/>
      <c r="N180" s="39"/>
      <c r="O180" s="39"/>
      <c r="P180" s="38">
        <v>11916669</v>
      </c>
      <c r="Q180" s="39">
        <v>794445</v>
      </c>
      <c r="R180" s="39">
        <v>0</v>
      </c>
      <c r="S180" s="40"/>
      <c r="T180" s="38">
        <v>0</v>
      </c>
      <c r="U180" s="40"/>
      <c r="V180" s="40">
        <v>614901</v>
      </c>
      <c r="W180" s="42"/>
      <c r="X180" s="40"/>
      <c r="Y180" s="40">
        <v>614901</v>
      </c>
      <c r="Z180" s="42"/>
      <c r="AA180" s="40"/>
      <c r="AB180" s="40"/>
      <c r="AC180" s="40">
        <v>153800</v>
      </c>
      <c r="AD180" s="42"/>
      <c r="AF180">
        <f>VLOOKUP(A180,Devengos!$A$4:$I$389,9,0)</f>
        <v>11916669</v>
      </c>
      <c r="AG180">
        <f t="shared" si="134"/>
        <v>11916669</v>
      </c>
      <c r="AH180">
        <f>IFERROR(VLOOKUP(B180,'Planilla Mes anterior'!$CX:$CY,2,0),0)</f>
        <v>11916669</v>
      </c>
      <c r="AJ180" s="95">
        <v>0</v>
      </c>
    </row>
    <row r="181" spans="1:37" x14ac:dyDescent="0.3">
      <c r="A181" s="81">
        <v>90707658</v>
      </c>
      <c r="B181" s="5">
        <v>1014257439.0000001</v>
      </c>
      <c r="C181" s="36" t="s">
        <v>3413</v>
      </c>
      <c r="D181" s="36" t="s">
        <v>3456</v>
      </c>
      <c r="E181" s="39">
        <v>30</v>
      </c>
      <c r="F181" s="37">
        <v>0</v>
      </c>
      <c r="G181" s="37">
        <v>0</v>
      </c>
      <c r="H181" s="38">
        <v>6224869</v>
      </c>
      <c r="I181" s="39">
        <v>6224869</v>
      </c>
      <c r="J181" s="38">
        <v>700300</v>
      </c>
      <c r="K181" s="39">
        <v>6925169</v>
      </c>
      <c r="L181" s="39">
        <v>2770068</v>
      </c>
      <c r="M181" s="39"/>
      <c r="N181" s="39"/>
      <c r="O181" s="39"/>
      <c r="P181" s="38">
        <v>6224869</v>
      </c>
      <c r="Q181" s="39">
        <v>0</v>
      </c>
      <c r="R181" s="39">
        <v>0</v>
      </c>
      <c r="S181" s="40"/>
      <c r="T181" s="38">
        <v>0</v>
      </c>
      <c r="U181" s="40"/>
      <c r="V181" s="40">
        <v>248995</v>
      </c>
      <c r="W181" s="42"/>
      <c r="X181" s="40"/>
      <c r="Y181" s="40">
        <v>248995</v>
      </c>
      <c r="Z181" s="42"/>
      <c r="AA181" s="40"/>
      <c r="AB181" s="40"/>
      <c r="AC181" s="40">
        <v>0</v>
      </c>
      <c r="AD181" s="42"/>
      <c r="AF181">
        <f>VLOOKUP(A181,Devengos!$A$4:$I$389,9,0)</f>
        <v>6224869</v>
      </c>
      <c r="AG181">
        <f t="shared" si="134"/>
        <v>6224869</v>
      </c>
      <c r="AH181">
        <f>IFERROR(VLOOKUP(B181,'Planilla Mes anterior'!$CX:$CY,2,0),0)</f>
        <v>6224869</v>
      </c>
      <c r="AJ181" s="95">
        <v>0</v>
      </c>
    </row>
    <row r="182" spans="1:37" x14ac:dyDescent="0.3">
      <c r="A182" s="81">
        <v>90707659</v>
      </c>
      <c r="B182" s="5">
        <v>79745119</v>
      </c>
      <c r="C182" s="36" t="s">
        <v>1631</v>
      </c>
      <c r="D182" s="36" t="s">
        <v>3344</v>
      </c>
      <c r="E182" s="39">
        <v>30</v>
      </c>
      <c r="F182" s="37">
        <v>0</v>
      </c>
      <c r="G182" s="37">
        <v>0</v>
      </c>
      <c r="H182" s="38">
        <v>56202253</v>
      </c>
      <c r="I182" s="39">
        <v>39341577</v>
      </c>
      <c r="J182" s="38">
        <v>1487300</v>
      </c>
      <c r="K182" s="39">
        <v>57689553</v>
      </c>
      <c r="L182" s="39">
        <v>23075821</v>
      </c>
      <c r="M182" s="39"/>
      <c r="N182" s="39"/>
      <c r="O182" s="39"/>
      <c r="P182" s="38">
        <v>22669556</v>
      </c>
      <c r="Q182" s="39">
        <v>0</v>
      </c>
      <c r="R182" s="39">
        <v>0</v>
      </c>
      <c r="S182" s="40"/>
      <c r="T182" s="38"/>
      <c r="U182" s="40"/>
      <c r="V182" s="40">
        <v>1573663</v>
      </c>
      <c r="W182" s="42"/>
      <c r="X182" s="40"/>
      <c r="Y182" s="40">
        <v>1573663</v>
      </c>
      <c r="Z182" s="42"/>
      <c r="AA182" s="40"/>
      <c r="AB182" s="40"/>
      <c r="AC182" s="40">
        <v>787000</v>
      </c>
      <c r="AD182" s="42"/>
      <c r="AF182">
        <f>VLOOKUP(A182,Devengos!$A$4:$I$389,9,0)</f>
        <v>32385080</v>
      </c>
      <c r="AG182">
        <f t="shared" si="134"/>
        <v>22669556</v>
      </c>
      <c r="AH182">
        <f>IFERROR(VLOOKUP(B182,'Planilla Mes anterior'!$CX:$CY,2,0),0)</f>
        <v>22669556</v>
      </c>
      <c r="AJ182" s="95">
        <v>-367700</v>
      </c>
    </row>
    <row r="183" spans="1:37" x14ac:dyDescent="0.3">
      <c r="A183" s="81">
        <v>90707662</v>
      </c>
      <c r="B183" s="5">
        <v>71365863</v>
      </c>
      <c r="C183" s="36" t="s">
        <v>1637</v>
      </c>
      <c r="D183" s="36" t="s">
        <v>3344</v>
      </c>
      <c r="E183" s="39">
        <v>30</v>
      </c>
      <c r="F183" s="37">
        <v>3</v>
      </c>
      <c r="G183" s="37">
        <v>0</v>
      </c>
      <c r="H183" s="38">
        <v>20485589</v>
      </c>
      <c r="I183" s="39">
        <v>14339912</v>
      </c>
      <c r="J183" s="38">
        <v>859700</v>
      </c>
      <c r="K183" s="39">
        <v>21345289</v>
      </c>
      <c r="L183" s="39">
        <v>8538116</v>
      </c>
      <c r="M183" s="39"/>
      <c r="N183" s="39"/>
      <c r="O183" s="39"/>
      <c r="P183" s="38">
        <v>15933236</v>
      </c>
      <c r="Q183" s="39">
        <v>1593324</v>
      </c>
      <c r="R183" s="39">
        <v>0</v>
      </c>
      <c r="S183" s="40"/>
      <c r="T183" s="38"/>
      <c r="U183" s="40"/>
      <c r="V183" s="40">
        <v>637330</v>
      </c>
      <c r="W183" s="42"/>
      <c r="X183" s="40"/>
      <c r="Y183" s="40">
        <v>637330</v>
      </c>
      <c r="Z183" s="42"/>
      <c r="AA183" s="40"/>
      <c r="AB183" s="40"/>
      <c r="AC183" s="40">
        <v>159400</v>
      </c>
      <c r="AD183" s="42"/>
      <c r="AF183">
        <f>VLOOKUP(A183,Devengos!$A$4:$I$389,9,0)</f>
        <v>22761765</v>
      </c>
      <c r="AG183">
        <f t="shared" si="134"/>
        <v>15933236</v>
      </c>
      <c r="AH183">
        <f>IFERROR(VLOOKUP(B183,'Planilla Mes anterior'!$CX:$CY,2,0),0)</f>
        <v>15933236</v>
      </c>
      <c r="AJ183" s="95">
        <v>0</v>
      </c>
    </row>
    <row r="184" spans="1:37" x14ac:dyDescent="0.3">
      <c r="A184" s="81">
        <v>90707697</v>
      </c>
      <c r="B184" s="5">
        <v>10295912</v>
      </c>
      <c r="C184" s="36" t="s">
        <v>1641</v>
      </c>
      <c r="D184" s="36" t="s">
        <v>3456</v>
      </c>
      <c r="E184" s="39">
        <v>35</v>
      </c>
      <c r="F184" s="37">
        <v>0</v>
      </c>
      <c r="G184" s="37">
        <v>0</v>
      </c>
      <c r="H184" s="38">
        <v>12159801</v>
      </c>
      <c r="I184" s="39">
        <v>12159801</v>
      </c>
      <c r="J184" s="38">
        <v>821900</v>
      </c>
      <c r="K184" s="39">
        <v>12981701</v>
      </c>
      <c r="L184" s="39">
        <v>5192680</v>
      </c>
      <c r="M184" s="39"/>
      <c r="N184" s="39"/>
      <c r="O184" s="39"/>
      <c r="P184" s="38">
        <v>13071104</v>
      </c>
      <c r="Q184" s="39">
        <v>0</v>
      </c>
      <c r="R184" s="39">
        <v>0</v>
      </c>
      <c r="S184" s="40"/>
      <c r="T184" s="38">
        <v>0</v>
      </c>
      <c r="U184" s="40"/>
      <c r="V184" s="40">
        <v>486392</v>
      </c>
      <c r="W184" s="42"/>
      <c r="X184" s="40"/>
      <c r="Y184" s="40">
        <v>486392</v>
      </c>
      <c r="Z184" s="42"/>
      <c r="AA184" s="40"/>
      <c r="AB184" s="40"/>
      <c r="AC184" s="40">
        <v>121600</v>
      </c>
      <c r="AD184" s="42"/>
      <c r="AF184">
        <f>VLOOKUP(A184,Devengos!$A$4:$I$389,9,0)</f>
        <v>7287764</v>
      </c>
      <c r="AG184">
        <f t="shared" si="134"/>
        <v>7287764</v>
      </c>
      <c r="AH184">
        <f>IFERROR(VLOOKUP(B184,'Planilla Mes anterior'!$CX:$CY,2,0),0)</f>
        <v>13071104</v>
      </c>
      <c r="AJ184" s="95">
        <v>0</v>
      </c>
    </row>
    <row r="185" spans="1:37" x14ac:dyDescent="0.3">
      <c r="A185" s="81">
        <v>90708049</v>
      </c>
      <c r="B185" s="5">
        <v>1036673731.0000001</v>
      </c>
      <c r="C185" s="36" t="s">
        <v>1644</v>
      </c>
      <c r="D185" s="36" t="s">
        <v>3456</v>
      </c>
      <c r="E185" s="39">
        <v>14</v>
      </c>
      <c r="F185" s="37">
        <v>0</v>
      </c>
      <c r="G185" s="37">
        <v>0</v>
      </c>
      <c r="H185" s="38">
        <v>5366667</v>
      </c>
      <c r="I185" s="39">
        <v>5366667</v>
      </c>
      <c r="J185" s="38">
        <v>245093</v>
      </c>
      <c r="K185" s="39">
        <v>5611760</v>
      </c>
      <c r="L185" s="39">
        <v>2244704</v>
      </c>
      <c r="M185" s="39"/>
      <c r="N185" s="39"/>
      <c r="O185" s="39"/>
      <c r="P185" s="38">
        <v>0</v>
      </c>
      <c r="Q185" s="39">
        <v>0</v>
      </c>
      <c r="R185" s="39">
        <v>0</v>
      </c>
      <c r="S185" s="40"/>
      <c r="T185" s="38">
        <v>0</v>
      </c>
      <c r="U185" s="40"/>
      <c r="V185" s="40">
        <v>214667</v>
      </c>
      <c r="W185" s="42"/>
      <c r="X185" s="40"/>
      <c r="Y185" s="40">
        <v>214667</v>
      </c>
      <c r="Z185" s="42"/>
      <c r="AA185" s="40"/>
      <c r="AB185" s="40"/>
      <c r="AC185" s="40">
        <v>0</v>
      </c>
      <c r="AD185" s="42"/>
      <c r="AF185">
        <f>VLOOKUP(A185,Devengos!$A$4:$I$389,9,0)</f>
        <v>11500000</v>
      </c>
      <c r="AG185">
        <f t="shared" si="134"/>
        <v>11500000</v>
      </c>
      <c r="AH185">
        <f>IFERROR(VLOOKUP(B185,'Planilla Mes anterior'!$CX:$CY,2,0),0)</f>
        <v>0</v>
      </c>
      <c r="AJ185" s="95">
        <v>0</v>
      </c>
    </row>
    <row r="186" spans="1:37" x14ac:dyDescent="0.3">
      <c r="A186" s="81">
        <v>90708050</v>
      </c>
      <c r="B186" s="5">
        <v>1152194170</v>
      </c>
      <c r="C186" s="36" t="s">
        <v>1647</v>
      </c>
      <c r="D186" s="36" t="s">
        <v>3344</v>
      </c>
      <c r="E186" s="39">
        <v>30</v>
      </c>
      <c r="F186" s="37">
        <v>7</v>
      </c>
      <c r="G186" s="37">
        <v>0</v>
      </c>
      <c r="H186" s="38">
        <v>17450687</v>
      </c>
      <c r="I186" s="39">
        <v>12215481</v>
      </c>
      <c r="J186" s="38">
        <v>860900</v>
      </c>
      <c r="K186" s="39">
        <v>18311587</v>
      </c>
      <c r="L186" s="39">
        <v>7324635</v>
      </c>
      <c r="M186" s="39"/>
      <c r="N186" s="39"/>
      <c r="O186" s="39"/>
      <c r="P186" s="38">
        <v>16325236</v>
      </c>
      <c r="Q186" s="39">
        <v>3809222</v>
      </c>
      <c r="R186" s="39">
        <v>0</v>
      </c>
      <c r="S186" s="40"/>
      <c r="T186" s="38"/>
      <c r="U186" s="40"/>
      <c r="V186" s="40">
        <v>640988</v>
      </c>
      <c r="W186" s="42"/>
      <c r="X186" s="40"/>
      <c r="Y186" s="40">
        <v>640988</v>
      </c>
      <c r="Z186" s="42"/>
      <c r="AA186" s="40"/>
      <c r="AB186" s="40"/>
      <c r="AC186" s="40">
        <v>160600</v>
      </c>
      <c r="AD186" s="42"/>
      <c r="AF186">
        <f>VLOOKUP(A186,Devengos!$A$4:$I$389,9,0)</f>
        <v>22761765</v>
      </c>
      <c r="AG186">
        <f t="shared" si="134"/>
        <v>15933236</v>
      </c>
      <c r="AH186">
        <f>IFERROR(VLOOKUP(B186,'Planilla Mes anterior'!$CX:$CY,2,0),0)</f>
        <v>16325236</v>
      </c>
      <c r="AJ186" s="95">
        <v>0</v>
      </c>
    </row>
    <row r="187" spans="1:37" x14ac:dyDescent="0.3">
      <c r="A187" s="81">
        <v>90708061</v>
      </c>
      <c r="B187" s="5">
        <v>4710855</v>
      </c>
      <c r="C187" s="36" t="s">
        <v>1651</v>
      </c>
      <c r="D187" s="36" t="s">
        <v>3344</v>
      </c>
      <c r="E187" s="39">
        <v>30</v>
      </c>
      <c r="F187" s="37">
        <v>0</v>
      </c>
      <c r="G187" s="37">
        <v>0</v>
      </c>
      <c r="H187" s="38">
        <v>22761765</v>
      </c>
      <c r="I187" s="39">
        <v>15933235</v>
      </c>
      <c r="J187" s="38">
        <v>859700</v>
      </c>
      <c r="K187" s="39">
        <v>23621465</v>
      </c>
      <c r="L187" s="39">
        <v>9448586</v>
      </c>
      <c r="M187" s="39"/>
      <c r="N187" s="39"/>
      <c r="O187" s="39"/>
      <c r="P187" s="38">
        <v>22761765.714</v>
      </c>
      <c r="Q187" s="39">
        <v>0</v>
      </c>
      <c r="R187" s="39">
        <v>0</v>
      </c>
      <c r="S187" s="40"/>
      <c r="T187" s="38"/>
      <c r="U187" s="40"/>
      <c r="V187" s="40">
        <v>637329</v>
      </c>
      <c r="W187" s="42"/>
      <c r="X187" s="40"/>
      <c r="Y187" s="40">
        <v>637329</v>
      </c>
      <c r="Z187" s="42"/>
      <c r="AA187" s="40"/>
      <c r="AB187" s="40"/>
      <c r="AC187" s="40">
        <v>159400</v>
      </c>
      <c r="AD187" s="42"/>
      <c r="AF187">
        <f>VLOOKUP(A187,Devengos!$A$4:$I$389,9,0)</f>
        <v>22761765</v>
      </c>
      <c r="AG187">
        <f t="shared" si="134"/>
        <v>15933236</v>
      </c>
      <c r="AH187">
        <f>IFERROR(VLOOKUP(B187,'Planilla Mes anterior'!$CX:$CY,2,0),0)</f>
        <v>15933236</v>
      </c>
      <c r="AJ187" s="95">
        <v>0</v>
      </c>
    </row>
    <row r="188" spans="1:37" x14ac:dyDescent="0.3">
      <c r="A188" s="81">
        <v>90708102</v>
      </c>
      <c r="B188" s="5">
        <v>1116270008</v>
      </c>
      <c r="C188" s="36" t="s">
        <v>1655</v>
      </c>
      <c r="D188" s="36" t="s">
        <v>3456</v>
      </c>
      <c r="E188" s="39">
        <v>30</v>
      </c>
      <c r="F188" s="37">
        <v>0</v>
      </c>
      <c r="G188" s="37">
        <v>0</v>
      </c>
      <c r="H188" s="38">
        <v>10941463</v>
      </c>
      <c r="I188" s="39">
        <v>10941463</v>
      </c>
      <c r="J188" s="38">
        <v>809900</v>
      </c>
      <c r="K188" s="39">
        <v>11751363</v>
      </c>
      <c r="L188" s="39">
        <v>4700545</v>
      </c>
      <c r="M188" s="39"/>
      <c r="N188" s="39"/>
      <c r="O188" s="39"/>
      <c r="P188" s="38">
        <v>10941463</v>
      </c>
      <c r="Q188" s="39">
        <v>0</v>
      </c>
      <c r="R188" s="39">
        <v>0</v>
      </c>
      <c r="S188" s="40"/>
      <c r="T188" s="38">
        <v>0</v>
      </c>
      <c r="U188" s="40"/>
      <c r="V188" s="40">
        <v>437659</v>
      </c>
      <c r="W188" s="42"/>
      <c r="X188" s="40"/>
      <c r="Y188" s="40">
        <v>437659</v>
      </c>
      <c r="Z188" s="42"/>
      <c r="AA188" s="40"/>
      <c r="AB188" s="40"/>
      <c r="AC188" s="40">
        <v>109600</v>
      </c>
      <c r="AD188" s="42"/>
      <c r="AF188">
        <f>VLOOKUP(A188,Devengos!$A$4:$I$389,9,0)</f>
        <v>10941463</v>
      </c>
      <c r="AG188">
        <f t="shared" si="134"/>
        <v>10941463</v>
      </c>
      <c r="AH188">
        <f>IFERROR(VLOOKUP(B188,'Planilla Mes anterior'!$CX:$CY,2,0),0)</f>
        <v>10941463</v>
      </c>
      <c r="AJ188" s="95">
        <v>0</v>
      </c>
    </row>
    <row r="189" spans="1:37" x14ac:dyDescent="0.3">
      <c r="A189" s="81">
        <v>90708133</v>
      </c>
      <c r="B189" s="5">
        <v>94493912</v>
      </c>
      <c r="C189" s="36" t="s">
        <v>1659</v>
      </c>
      <c r="D189" s="36" t="s">
        <v>3456</v>
      </c>
      <c r="E189" s="39">
        <v>30</v>
      </c>
      <c r="F189" s="37">
        <v>0</v>
      </c>
      <c r="G189" s="37">
        <v>0</v>
      </c>
      <c r="H189" s="38">
        <v>12208219</v>
      </c>
      <c r="I189" s="39">
        <v>12208219</v>
      </c>
      <c r="J189" s="38">
        <v>822500</v>
      </c>
      <c r="K189" s="39">
        <v>13030719</v>
      </c>
      <c r="L189" s="39">
        <v>5212288</v>
      </c>
      <c r="M189" s="39"/>
      <c r="N189" s="39"/>
      <c r="O189" s="39"/>
      <c r="P189" s="38">
        <v>12220216</v>
      </c>
      <c r="Q189" s="39">
        <v>0</v>
      </c>
      <c r="R189" s="39">
        <v>0</v>
      </c>
      <c r="S189" s="40"/>
      <c r="T189" s="38">
        <v>0</v>
      </c>
      <c r="U189" s="40"/>
      <c r="V189" s="40">
        <v>488329</v>
      </c>
      <c r="W189" s="42"/>
      <c r="X189" s="40"/>
      <c r="Y189" s="40">
        <v>488329</v>
      </c>
      <c r="Z189" s="42"/>
      <c r="AA189" s="40"/>
      <c r="AB189" s="40"/>
      <c r="AC189" s="40">
        <v>122200</v>
      </c>
      <c r="AD189" s="42"/>
      <c r="AF189">
        <f>VLOOKUP(A189,Devengos!$A$4:$I$389,9,0)</f>
        <v>12208219</v>
      </c>
      <c r="AG189">
        <f t="shared" si="134"/>
        <v>12208219</v>
      </c>
      <c r="AH189">
        <f>IFERROR(VLOOKUP(B189,'Planilla Mes anterior'!$CX:$CY,2,0),0)</f>
        <v>12220216</v>
      </c>
      <c r="AJ189" s="95">
        <v>0</v>
      </c>
    </row>
    <row r="190" spans="1:37" s="67" customFormat="1" x14ac:dyDescent="0.3">
      <c r="A190" s="81">
        <v>90708427</v>
      </c>
      <c r="B190" s="5">
        <v>1001527916</v>
      </c>
      <c r="C190" s="36" t="s">
        <v>1664</v>
      </c>
      <c r="D190" s="36" t="s">
        <v>3456</v>
      </c>
      <c r="E190" s="39">
        <v>30</v>
      </c>
      <c r="F190" s="37">
        <v>0</v>
      </c>
      <c r="G190" s="37">
        <v>0</v>
      </c>
      <c r="H190" s="38">
        <v>10961597</v>
      </c>
      <c r="I190" s="39">
        <v>10961597</v>
      </c>
      <c r="J190" s="38">
        <v>810100</v>
      </c>
      <c r="K190" s="39">
        <v>11771697</v>
      </c>
      <c r="L190" s="39">
        <v>4708679</v>
      </c>
      <c r="M190" s="39"/>
      <c r="N190" s="39"/>
      <c r="O190" s="39"/>
      <c r="P190" s="38">
        <v>11346778</v>
      </c>
      <c r="Q190" s="39">
        <v>0</v>
      </c>
      <c r="R190" s="39">
        <v>0</v>
      </c>
      <c r="S190" s="40"/>
      <c r="T190" s="38">
        <v>0</v>
      </c>
      <c r="U190" s="40"/>
      <c r="V190" s="40">
        <v>438464</v>
      </c>
      <c r="W190" s="42"/>
      <c r="X190" s="40"/>
      <c r="Y190" s="40">
        <v>438464</v>
      </c>
      <c r="Z190" s="42"/>
      <c r="AA190" s="40"/>
      <c r="AB190" s="40"/>
      <c r="AC190" s="40">
        <v>109800</v>
      </c>
      <c r="AD190" s="42"/>
      <c r="AE190"/>
      <c r="AF190">
        <f>VLOOKUP(A190,Devengos!$A$4:$I$389,9,0)</f>
        <v>10961597</v>
      </c>
      <c r="AG190">
        <f t="shared" si="134"/>
        <v>10961597</v>
      </c>
      <c r="AH190">
        <f>IFERROR(VLOOKUP(B190,'Planilla Mes anterior'!$CX:$CY,2,0),0)</f>
        <v>11346778</v>
      </c>
      <c r="AI190"/>
      <c r="AJ190" s="95"/>
      <c r="AK190"/>
    </row>
    <row r="191" spans="1:37" x14ac:dyDescent="0.3">
      <c r="A191" s="81">
        <v>90708469</v>
      </c>
      <c r="B191" s="5">
        <v>1112221904</v>
      </c>
      <c r="C191" s="36" t="s">
        <v>1667</v>
      </c>
      <c r="D191" s="36" t="s">
        <v>3456</v>
      </c>
      <c r="E191" s="39">
        <v>30</v>
      </c>
      <c r="F191" s="37">
        <v>0</v>
      </c>
      <c r="G191" s="37">
        <v>0</v>
      </c>
      <c r="H191" s="38">
        <v>9735674</v>
      </c>
      <c r="I191" s="39">
        <v>9735674</v>
      </c>
      <c r="J191" s="38">
        <v>797700</v>
      </c>
      <c r="K191" s="39">
        <v>10533374</v>
      </c>
      <c r="L191" s="39">
        <v>4213350</v>
      </c>
      <c r="M191" s="39"/>
      <c r="N191" s="39"/>
      <c r="O191" s="39"/>
      <c r="P191" s="38">
        <v>5344471</v>
      </c>
      <c r="Q191" s="39">
        <v>0</v>
      </c>
      <c r="R191" s="39">
        <v>0</v>
      </c>
      <c r="S191" s="40"/>
      <c r="T191" s="38">
        <v>0</v>
      </c>
      <c r="U191" s="40"/>
      <c r="V191" s="40">
        <v>389427</v>
      </c>
      <c r="W191" s="42"/>
      <c r="X191" s="40"/>
      <c r="Y191" s="40">
        <v>389427</v>
      </c>
      <c r="Z191" s="42"/>
      <c r="AA191" s="40"/>
      <c r="AB191" s="40"/>
      <c r="AC191" s="40">
        <v>97400</v>
      </c>
      <c r="AD191" s="42"/>
      <c r="AF191">
        <f>VLOOKUP(A191,Devengos!$A$4:$I$389,9,0)</f>
        <v>7472650</v>
      </c>
      <c r="AG191">
        <f t="shared" si="134"/>
        <v>7472650</v>
      </c>
      <c r="AH191">
        <f>IFERROR(VLOOKUP(B191,'Planilla Mes anterior'!$CX:$CY,2,0),0)</f>
        <v>5344471</v>
      </c>
      <c r="AJ191" s="95">
        <v>0</v>
      </c>
    </row>
    <row r="192" spans="1:37" x14ac:dyDescent="0.3">
      <c r="A192" s="81">
        <v>90708470</v>
      </c>
      <c r="B192" s="5">
        <v>1144202448</v>
      </c>
      <c r="C192" s="36" t="s">
        <v>1671</v>
      </c>
      <c r="D192" s="36" t="s">
        <v>3456</v>
      </c>
      <c r="E192" s="39">
        <v>30</v>
      </c>
      <c r="F192" s="37">
        <v>1</v>
      </c>
      <c r="G192" s="37">
        <v>0</v>
      </c>
      <c r="H192" s="38">
        <v>8865986</v>
      </c>
      <c r="I192" s="39">
        <v>8865986</v>
      </c>
      <c r="J192" s="38">
        <v>792500</v>
      </c>
      <c r="K192" s="39">
        <v>9658486</v>
      </c>
      <c r="L192" s="39">
        <v>3863394</v>
      </c>
      <c r="M192" s="39"/>
      <c r="N192" s="39"/>
      <c r="O192" s="39"/>
      <c r="P192" s="38">
        <v>9607754</v>
      </c>
      <c r="Q192" s="39">
        <v>320258</v>
      </c>
      <c r="R192" s="39">
        <v>0</v>
      </c>
      <c r="S192" s="40"/>
      <c r="T192" s="38">
        <v>0</v>
      </c>
      <c r="U192" s="40"/>
      <c r="V192" s="40">
        <v>367449</v>
      </c>
      <c r="W192" s="42"/>
      <c r="X192" s="40"/>
      <c r="Y192" s="40">
        <v>367449</v>
      </c>
      <c r="Z192" s="42"/>
      <c r="AA192" s="40"/>
      <c r="AB192" s="40"/>
      <c r="AC192" s="40">
        <v>92200</v>
      </c>
      <c r="AD192" s="42"/>
      <c r="AF192">
        <f>VLOOKUP(A192,Devengos!$A$4:$I$389,9,0)</f>
        <v>9171710.0099999998</v>
      </c>
      <c r="AG192">
        <f t="shared" si="134"/>
        <v>9171710.0099999998</v>
      </c>
      <c r="AH192">
        <f>IFERROR(VLOOKUP(B192,'Planilla Mes anterior'!$CX:$CY,2,0),0)</f>
        <v>9607754</v>
      </c>
      <c r="AJ192" s="95">
        <v>0</v>
      </c>
    </row>
    <row r="193" spans="1:36" x14ac:dyDescent="0.3">
      <c r="A193" s="81">
        <v>90708534</v>
      </c>
      <c r="B193" s="5">
        <v>1083021115</v>
      </c>
      <c r="C193" s="36" t="s">
        <v>1675</v>
      </c>
      <c r="D193" s="36" t="s">
        <v>3456</v>
      </c>
      <c r="E193" s="39">
        <v>30</v>
      </c>
      <c r="F193" s="37">
        <v>1</v>
      </c>
      <c r="G193" s="37">
        <v>0</v>
      </c>
      <c r="H193" s="38">
        <v>9969391</v>
      </c>
      <c r="I193" s="39">
        <v>9969391</v>
      </c>
      <c r="J193" s="38">
        <v>803700</v>
      </c>
      <c r="K193" s="39">
        <v>10773091</v>
      </c>
      <c r="L193" s="39">
        <v>4309236</v>
      </c>
      <c r="M193" s="39"/>
      <c r="N193" s="39"/>
      <c r="O193" s="39"/>
      <c r="P193" s="38">
        <v>10313163</v>
      </c>
      <c r="Q193" s="39">
        <v>343772</v>
      </c>
      <c r="R193" s="39">
        <v>0</v>
      </c>
      <c r="S193" s="40"/>
      <c r="T193" s="38">
        <v>0</v>
      </c>
      <c r="U193" s="40"/>
      <c r="V193" s="40">
        <v>412527</v>
      </c>
      <c r="W193" s="42"/>
      <c r="X193" s="40"/>
      <c r="Y193" s="40">
        <v>412527</v>
      </c>
      <c r="Z193" s="42"/>
      <c r="AA193" s="40"/>
      <c r="AB193" s="40"/>
      <c r="AC193" s="40">
        <v>103400</v>
      </c>
      <c r="AD193" s="42"/>
      <c r="AF193">
        <f>VLOOKUP(A193,Devengos!$A$4:$I$389,9,0)</f>
        <v>10313163</v>
      </c>
      <c r="AG193">
        <f t="shared" si="134"/>
        <v>10313163</v>
      </c>
      <c r="AH193">
        <f>IFERROR(VLOOKUP(B193,'Planilla Mes anterior'!$CX:$CY,2,0),0)</f>
        <v>10313163</v>
      </c>
      <c r="AJ193" s="95">
        <v>0</v>
      </c>
    </row>
    <row r="194" spans="1:36" x14ac:dyDescent="0.3">
      <c r="A194" s="81">
        <v>90708608</v>
      </c>
      <c r="B194" s="5">
        <v>1073383424</v>
      </c>
      <c r="C194" s="36" t="s">
        <v>1680</v>
      </c>
      <c r="D194" s="36" t="s">
        <v>3456</v>
      </c>
      <c r="E194" s="39">
        <v>30</v>
      </c>
      <c r="F194" s="37">
        <v>0</v>
      </c>
      <c r="G194" s="37">
        <v>0</v>
      </c>
      <c r="H194" s="38">
        <v>3254509</v>
      </c>
      <c r="I194" s="39">
        <v>3254509</v>
      </c>
      <c r="J194" s="38">
        <v>774200</v>
      </c>
      <c r="K194" s="39">
        <v>4028709</v>
      </c>
      <c r="L194" s="39">
        <v>1611484</v>
      </c>
      <c r="M194" s="39"/>
      <c r="N194" s="39"/>
      <c r="O194" s="39"/>
      <c r="P194" s="38">
        <v>3254509</v>
      </c>
      <c r="Q194" s="39">
        <v>0</v>
      </c>
      <c r="R194" s="39">
        <v>0</v>
      </c>
      <c r="S194" s="40"/>
      <c r="T194" s="38">
        <v>0</v>
      </c>
      <c r="U194" s="40"/>
      <c r="V194" s="40">
        <v>130180</v>
      </c>
      <c r="W194" s="42"/>
      <c r="X194" s="40"/>
      <c r="Y194" s="40">
        <v>130180</v>
      </c>
      <c r="Z194" s="42"/>
      <c r="AA194" s="40"/>
      <c r="AB194" s="40"/>
      <c r="AC194" s="40">
        <v>0</v>
      </c>
      <c r="AD194" s="42"/>
      <c r="AF194">
        <f>VLOOKUP(A194,Devengos!$A$4:$I$389,9,0)</f>
        <v>3254509</v>
      </c>
      <c r="AG194">
        <f t="shared" si="134"/>
        <v>3254509</v>
      </c>
      <c r="AH194">
        <f>IFERROR(VLOOKUP(B194,'Planilla Mes anterior'!$CX:$CY,2,0),0)</f>
        <v>3254509</v>
      </c>
      <c r="AJ194" s="95">
        <v>0</v>
      </c>
    </row>
    <row r="195" spans="1:36" x14ac:dyDescent="0.3">
      <c r="A195" s="81">
        <v>90708828</v>
      </c>
      <c r="B195" s="5">
        <v>9861739</v>
      </c>
      <c r="C195" s="36" t="s">
        <v>1685</v>
      </c>
      <c r="D195" s="36" t="s">
        <v>3456</v>
      </c>
      <c r="E195" s="39">
        <v>31</v>
      </c>
      <c r="F195" s="37">
        <v>0</v>
      </c>
      <c r="G195" s="37">
        <v>0</v>
      </c>
      <c r="H195" s="38">
        <v>20246669</v>
      </c>
      <c r="I195" s="39">
        <v>20246669</v>
      </c>
      <c r="J195" s="38">
        <v>902900</v>
      </c>
      <c r="K195" s="39">
        <v>21149569</v>
      </c>
      <c r="L195" s="39">
        <v>8459828</v>
      </c>
      <c r="M195" s="39"/>
      <c r="N195" s="39"/>
      <c r="O195" s="39"/>
      <c r="P195" s="38">
        <v>9775869</v>
      </c>
      <c r="Q195" s="39">
        <v>0</v>
      </c>
      <c r="R195" s="39">
        <v>0</v>
      </c>
      <c r="S195" s="40"/>
      <c r="T195" s="38">
        <v>0</v>
      </c>
      <c r="U195" s="40"/>
      <c r="V195" s="40">
        <v>809867</v>
      </c>
      <c r="W195" s="42"/>
      <c r="X195" s="40"/>
      <c r="Y195" s="40">
        <v>809867</v>
      </c>
      <c r="Z195" s="42"/>
      <c r="AA195" s="40"/>
      <c r="AB195" s="40"/>
      <c r="AC195" s="40">
        <v>202600</v>
      </c>
      <c r="AD195" s="42"/>
      <c r="AF195">
        <f>VLOOKUP(A195,Devengos!$A$4:$I$389,9,0)</f>
        <v>9775869.2067000009</v>
      </c>
      <c r="AG195">
        <f t="shared" si="134"/>
        <v>9775869.2067000009</v>
      </c>
      <c r="AH195">
        <f>IFERROR(VLOOKUP(B195,'Planilla Mes anterior'!$CX:$CY,2,0),0)</f>
        <v>9775869</v>
      </c>
      <c r="AJ195" s="95">
        <v>0</v>
      </c>
    </row>
    <row r="196" spans="1:36" x14ac:dyDescent="0.3">
      <c r="A196" s="81">
        <v>90708829</v>
      </c>
      <c r="B196" s="5">
        <v>52428310</v>
      </c>
      <c r="C196" s="36" t="s">
        <v>1689</v>
      </c>
      <c r="D196" s="36" t="s">
        <v>3456</v>
      </c>
      <c r="E196" s="39">
        <v>31</v>
      </c>
      <c r="F196" s="37">
        <v>4</v>
      </c>
      <c r="G196" s="37">
        <v>0</v>
      </c>
      <c r="H196" s="38">
        <v>17499584</v>
      </c>
      <c r="I196" s="39">
        <v>17499584</v>
      </c>
      <c r="J196" s="38">
        <v>900700</v>
      </c>
      <c r="K196" s="39">
        <v>18400284</v>
      </c>
      <c r="L196" s="39">
        <v>7360114</v>
      </c>
      <c r="M196" s="39"/>
      <c r="N196" s="39"/>
      <c r="O196" s="39"/>
      <c r="P196" s="38">
        <v>19048971</v>
      </c>
      <c r="Q196" s="39">
        <v>2539863</v>
      </c>
      <c r="R196" s="39">
        <v>0</v>
      </c>
      <c r="S196" s="40"/>
      <c r="T196" s="38">
        <v>0</v>
      </c>
      <c r="U196" s="40"/>
      <c r="V196" s="40">
        <v>801578</v>
      </c>
      <c r="W196" s="42"/>
      <c r="X196" s="40"/>
      <c r="Y196" s="40">
        <v>801578</v>
      </c>
      <c r="Z196" s="42"/>
      <c r="AA196" s="40"/>
      <c r="AB196" s="40"/>
      <c r="AC196" s="40">
        <v>200400</v>
      </c>
      <c r="AD196" s="42"/>
      <c r="AF196">
        <f>VLOOKUP(A196,Devengos!$A$4:$I$389,9,0)</f>
        <v>11620402</v>
      </c>
      <c r="AG196">
        <f t="shared" ref="AG196:AG259" si="177">IF(D196="Integral",ROUND(AF196*70%,0),AF196)</f>
        <v>11620402</v>
      </c>
      <c r="AH196">
        <f>IFERROR(VLOOKUP(B196,'Planilla Mes anterior'!$CX:$CY,2,0),0)</f>
        <v>19048971</v>
      </c>
      <c r="AJ196" s="95">
        <v>0</v>
      </c>
    </row>
    <row r="197" spans="1:36" x14ac:dyDescent="0.3">
      <c r="A197" s="81">
        <v>90709350</v>
      </c>
      <c r="B197" s="5">
        <v>80872610</v>
      </c>
      <c r="C197" s="36" t="s">
        <v>1693</v>
      </c>
      <c r="D197" s="36" t="s">
        <v>3456</v>
      </c>
      <c r="E197" s="39">
        <v>30</v>
      </c>
      <c r="F197" s="37">
        <v>0</v>
      </c>
      <c r="G197" s="37">
        <v>0</v>
      </c>
      <c r="H197" s="38">
        <v>10139904</v>
      </c>
      <c r="I197" s="39">
        <v>10139904</v>
      </c>
      <c r="J197" s="38">
        <v>1002729</v>
      </c>
      <c r="K197" s="39">
        <v>11142633</v>
      </c>
      <c r="L197" s="39">
        <v>4457053</v>
      </c>
      <c r="M197" s="39"/>
      <c r="N197" s="39"/>
      <c r="O197" s="39"/>
      <c r="P197" s="38">
        <v>12721614</v>
      </c>
      <c r="Q197" s="39">
        <v>0</v>
      </c>
      <c r="R197" s="39">
        <v>0</v>
      </c>
      <c r="S197" s="40"/>
      <c r="T197" s="38">
        <v>0</v>
      </c>
      <c r="U197" s="40"/>
      <c r="V197" s="40">
        <v>405596</v>
      </c>
      <c r="W197" s="42"/>
      <c r="X197" s="40"/>
      <c r="Y197" s="40">
        <v>405596</v>
      </c>
      <c r="Z197" s="42"/>
      <c r="AA197" s="40"/>
      <c r="AB197" s="40"/>
      <c r="AC197" s="40">
        <v>101400</v>
      </c>
      <c r="AD197" s="42"/>
      <c r="AF197">
        <f>VLOOKUP(A197,Devengos!$A$4:$I$389,9,0)</f>
        <v>10139904.102499999</v>
      </c>
      <c r="AG197">
        <f t="shared" si="177"/>
        <v>10139904.102499999</v>
      </c>
      <c r="AH197">
        <f>IFERROR(VLOOKUP(B197,'Planilla Mes anterior'!$CX:$CY,2,0),0)</f>
        <v>12721614</v>
      </c>
      <c r="AJ197" s="95">
        <v>0</v>
      </c>
    </row>
    <row r="198" spans="1:36" x14ac:dyDescent="0.3">
      <c r="A198" s="81">
        <v>90709480</v>
      </c>
      <c r="B198" s="5">
        <v>14695969</v>
      </c>
      <c r="C198" s="36" t="s">
        <v>1697</v>
      </c>
      <c r="D198" s="36" t="s">
        <v>3456</v>
      </c>
      <c r="E198" s="39">
        <v>30</v>
      </c>
      <c r="F198" s="37">
        <v>0</v>
      </c>
      <c r="G198" s="37">
        <v>0</v>
      </c>
      <c r="H198" s="38">
        <v>10931643</v>
      </c>
      <c r="I198" s="39">
        <v>10931643</v>
      </c>
      <c r="J198" s="38">
        <v>809700</v>
      </c>
      <c r="K198" s="39">
        <v>11741343</v>
      </c>
      <c r="L198" s="39">
        <v>4696537</v>
      </c>
      <c r="M198" s="39"/>
      <c r="N198" s="39"/>
      <c r="O198" s="39"/>
      <c r="P198" s="38">
        <v>10931643</v>
      </c>
      <c r="Q198" s="39">
        <v>0</v>
      </c>
      <c r="R198" s="39">
        <v>0</v>
      </c>
      <c r="S198" s="40"/>
      <c r="T198" s="38">
        <v>0</v>
      </c>
      <c r="U198" s="40"/>
      <c r="V198" s="40">
        <v>437266</v>
      </c>
      <c r="W198" s="42"/>
      <c r="X198" s="40"/>
      <c r="Y198" s="40">
        <v>437266</v>
      </c>
      <c r="Z198" s="42"/>
      <c r="AA198" s="40"/>
      <c r="AB198" s="40"/>
      <c r="AC198" s="40">
        <v>109400</v>
      </c>
      <c r="AD198" s="42"/>
      <c r="AF198">
        <f>VLOOKUP(A198,Devengos!$A$4:$I$389,9,0)</f>
        <v>10931643</v>
      </c>
      <c r="AG198">
        <f t="shared" si="177"/>
        <v>10931643</v>
      </c>
      <c r="AH198">
        <f>IFERROR(VLOOKUP(B198,'Planilla Mes anterior'!$CX:$CY,2,0),0)</f>
        <v>10931643</v>
      </c>
      <c r="AJ198" s="95">
        <v>0</v>
      </c>
    </row>
    <row r="199" spans="1:36" x14ac:dyDescent="0.3">
      <c r="A199" s="81">
        <v>90709501</v>
      </c>
      <c r="B199" s="5">
        <v>1130622333</v>
      </c>
      <c r="C199" s="36" t="s">
        <v>1701</v>
      </c>
      <c r="D199" s="36" t="s">
        <v>3456</v>
      </c>
      <c r="E199" s="39">
        <v>30</v>
      </c>
      <c r="F199" s="37">
        <v>0</v>
      </c>
      <c r="G199" s="37">
        <v>0</v>
      </c>
      <c r="H199" s="38">
        <v>6279291</v>
      </c>
      <c r="I199" s="39">
        <v>6279291</v>
      </c>
      <c r="J199" s="38">
        <v>700300</v>
      </c>
      <c r="K199" s="39">
        <v>6979591</v>
      </c>
      <c r="L199" s="39">
        <v>2791836</v>
      </c>
      <c r="M199" s="39"/>
      <c r="N199" s="39"/>
      <c r="O199" s="39"/>
      <c r="P199" s="38">
        <v>6279291</v>
      </c>
      <c r="Q199" s="39">
        <v>0</v>
      </c>
      <c r="R199" s="39">
        <v>0</v>
      </c>
      <c r="S199" s="40"/>
      <c r="T199" s="38">
        <v>0</v>
      </c>
      <c r="U199" s="40"/>
      <c r="V199" s="40">
        <v>251172</v>
      </c>
      <c r="W199" s="42"/>
      <c r="X199" s="40"/>
      <c r="Y199" s="40">
        <v>251172</v>
      </c>
      <c r="Z199" s="42"/>
      <c r="AA199" s="40"/>
      <c r="AB199" s="40"/>
      <c r="AC199" s="40">
        <v>0</v>
      </c>
      <c r="AD199" s="42"/>
      <c r="AF199">
        <f>VLOOKUP(A199,Devengos!$A$4:$I$389,9,0)</f>
        <v>6279291</v>
      </c>
      <c r="AG199">
        <f t="shared" si="177"/>
        <v>6279291</v>
      </c>
      <c r="AH199">
        <f>IFERROR(VLOOKUP(B199,'Planilla Mes anterior'!$CX:$CY,2,0),0)</f>
        <v>6279291</v>
      </c>
      <c r="AJ199" s="95">
        <v>0</v>
      </c>
    </row>
    <row r="200" spans="1:36" x14ac:dyDescent="0.3">
      <c r="A200" s="81">
        <v>90711551</v>
      </c>
      <c r="B200" s="5">
        <v>52515611</v>
      </c>
      <c r="C200" s="36" t="s">
        <v>1706</v>
      </c>
      <c r="D200" s="36" t="s">
        <v>3344</v>
      </c>
      <c r="E200" s="39">
        <v>30</v>
      </c>
      <c r="F200" s="37">
        <v>1</v>
      </c>
      <c r="G200" s="37">
        <v>0</v>
      </c>
      <c r="H200" s="38">
        <v>22003040</v>
      </c>
      <c r="I200" s="39">
        <v>15402128</v>
      </c>
      <c r="J200" s="38">
        <v>859900</v>
      </c>
      <c r="K200" s="39">
        <v>22862940</v>
      </c>
      <c r="L200" s="39">
        <v>9145176</v>
      </c>
      <c r="M200" s="39"/>
      <c r="N200" s="39"/>
      <c r="O200" s="39"/>
      <c r="P200" s="38">
        <v>15933236</v>
      </c>
      <c r="Q200" s="39">
        <v>531108</v>
      </c>
      <c r="R200" s="39">
        <v>0</v>
      </c>
      <c r="S200" s="40"/>
      <c r="T200" s="38"/>
      <c r="U200" s="40"/>
      <c r="V200" s="40">
        <v>637329</v>
      </c>
      <c r="W200" s="42"/>
      <c r="X200" s="40"/>
      <c r="Y200" s="40">
        <v>637329</v>
      </c>
      <c r="Z200" s="42"/>
      <c r="AA200" s="40"/>
      <c r="AB200" s="40"/>
      <c r="AC200" s="40">
        <v>159600</v>
      </c>
      <c r="AD200" s="42"/>
      <c r="AF200">
        <f>VLOOKUP(A200,Devengos!$A$4:$I$389,9,0)</f>
        <v>22761765</v>
      </c>
      <c r="AG200">
        <f t="shared" si="177"/>
        <v>15933236</v>
      </c>
      <c r="AH200">
        <f>IFERROR(VLOOKUP(B200,'Planilla Mes anterior'!$CX:$CY,2,0),0)</f>
        <v>15933236</v>
      </c>
      <c r="AJ200" s="95">
        <v>0</v>
      </c>
    </row>
    <row r="201" spans="1:36" x14ac:dyDescent="0.3">
      <c r="A201" s="81">
        <v>90712023</v>
      </c>
      <c r="B201" s="5">
        <v>1053837736.9999999</v>
      </c>
      <c r="C201" s="36" t="s">
        <v>1709</v>
      </c>
      <c r="D201" s="36" t="s">
        <v>3456</v>
      </c>
      <c r="E201" s="39">
        <v>30</v>
      </c>
      <c r="F201" s="37">
        <v>0</v>
      </c>
      <c r="G201" s="37">
        <v>0</v>
      </c>
      <c r="H201" s="38">
        <v>12464540</v>
      </c>
      <c r="I201" s="39">
        <v>12464540</v>
      </c>
      <c r="J201" s="38">
        <v>825100</v>
      </c>
      <c r="K201" s="39">
        <v>13289640</v>
      </c>
      <c r="L201" s="39">
        <v>5315856</v>
      </c>
      <c r="M201" s="39"/>
      <c r="N201" s="39"/>
      <c r="O201" s="39"/>
      <c r="P201" s="38">
        <v>12464540</v>
      </c>
      <c r="Q201" s="39">
        <v>0</v>
      </c>
      <c r="R201" s="39">
        <v>0</v>
      </c>
      <c r="S201" s="40"/>
      <c r="T201" s="38">
        <v>0</v>
      </c>
      <c r="U201" s="40"/>
      <c r="V201" s="40">
        <v>498582</v>
      </c>
      <c r="W201" s="42"/>
      <c r="X201" s="40"/>
      <c r="Y201" s="40">
        <v>498582</v>
      </c>
      <c r="Z201" s="42"/>
      <c r="AA201" s="40"/>
      <c r="AB201" s="40"/>
      <c r="AC201" s="40">
        <v>124800</v>
      </c>
      <c r="AD201" s="42"/>
      <c r="AF201">
        <f>VLOOKUP(A201,Devengos!$A$4:$I$389,9,0)</f>
        <v>12464540</v>
      </c>
      <c r="AG201">
        <f t="shared" si="177"/>
        <v>12464540</v>
      </c>
      <c r="AH201">
        <f>IFERROR(VLOOKUP(B201,'Planilla Mes anterior'!$CX:$CY,2,0),0)</f>
        <v>12464540</v>
      </c>
      <c r="AJ201" s="95">
        <v>0</v>
      </c>
    </row>
    <row r="202" spans="1:36" x14ac:dyDescent="0.3">
      <c r="A202" s="81">
        <v>90712192</v>
      </c>
      <c r="B202" s="5">
        <v>1014284696</v>
      </c>
      <c r="C202" s="36" t="s">
        <v>1713</v>
      </c>
      <c r="D202" s="36" t="s">
        <v>3456</v>
      </c>
      <c r="E202" s="39">
        <v>30</v>
      </c>
      <c r="F202" s="37">
        <v>0</v>
      </c>
      <c r="G202" s="37">
        <v>0</v>
      </c>
      <c r="H202" s="38">
        <v>12155000</v>
      </c>
      <c r="I202" s="39">
        <v>12155000</v>
      </c>
      <c r="J202" s="38">
        <v>821900</v>
      </c>
      <c r="K202" s="39">
        <v>12976900</v>
      </c>
      <c r="L202" s="39">
        <v>5190760</v>
      </c>
      <c r="M202" s="39"/>
      <c r="N202" s="39"/>
      <c r="O202" s="39"/>
      <c r="P202" s="38">
        <v>12155000</v>
      </c>
      <c r="Q202" s="39">
        <v>0</v>
      </c>
      <c r="R202" s="39">
        <v>0</v>
      </c>
      <c r="S202" s="40"/>
      <c r="T202" s="38">
        <v>0</v>
      </c>
      <c r="U202" s="40"/>
      <c r="V202" s="40">
        <v>486200</v>
      </c>
      <c r="W202" s="42"/>
      <c r="X202" s="40"/>
      <c r="Y202" s="40">
        <v>486200</v>
      </c>
      <c r="Z202" s="42"/>
      <c r="AA202" s="40"/>
      <c r="AB202" s="40"/>
      <c r="AC202" s="40">
        <v>121600</v>
      </c>
      <c r="AD202" s="42"/>
      <c r="AF202">
        <f>VLOOKUP(A202,Devengos!$A$4:$I$389,9,0)</f>
        <v>12155000</v>
      </c>
      <c r="AG202">
        <f t="shared" si="177"/>
        <v>12155000</v>
      </c>
      <c r="AH202">
        <f>IFERROR(VLOOKUP(B202,'Planilla Mes anterior'!$CX:$CY,2,0),0)</f>
        <v>12155000</v>
      </c>
      <c r="AJ202" s="95">
        <v>0</v>
      </c>
    </row>
    <row r="203" spans="1:36" x14ac:dyDescent="0.3">
      <c r="A203" s="81">
        <v>90712265</v>
      </c>
      <c r="B203" s="5">
        <v>1152187420</v>
      </c>
      <c r="C203" s="36" t="s">
        <v>1718</v>
      </c>
      <c r="D203" s="36" t="s">
        <v>3344</v>
      </c>
      <c r="E203" s="39">
        <v>30</v>
      </c>
      <c r="F203" s="37">
        <v>0</v>
      </c>
      <c r="G203" s="37">
        <v>0</v>
      </c>
      <c r="H203" s="38">
        <v>22761765</v>
      </c>
      <c r="I203" s="39">
        <v>15933235</v>
      </c>
      <c r="J203" s="38">
        <v>859700</v>
      </c>
      <c r="K203" s="39">
        <v>23621465</v>
      </c>
      <c r="L203" s="39">
        <v>9448586</v>
      </c>
      <c r="M203" s="39"/>
      <c r="N203" s="39"/>
      <c r="O203" s="39"/>
      <c r="P203" s="38">
        <v>22761765.714</v>
      </c>
      <c r="Q203" s="39">
        <v>0</v>
      </c>
      <c r="R203" s="39">
        <v>0</v>
      </c>
      <c r="S203" s="40"/>
      <c r="T203" s="38"/>
      <c r="U203" s="40"/>
      <c r="V203" s="40">
        <v>637329</v>
      </c>
      <c r="W203" s="42"/>
      <c r="X203" s="40"/>
      <c r="Y203" s="40">
        <v>637329</v>
      </c>
      <c r="Z203" s="42"/>
      <c r="AA203" s="40"/>
      <c r="AB203" s="40"/>
      <c r="AC203" s="40">
        <v>159400</v>
      </c>
      <c r="AD203" s="42"/>
      <c r="AF203">
        <f>VLOOKUP(A203,Devengos!$A$4:$I$389,9,0)</f>
        <v>22761765</v>
      </c>
      <c r="AG203">
        <f t="shared" si="177"/>
        <v>15933236</v>
      </c>
      <c r="AH203">
        <f>IFERROR(VLOOKUP(B203,'Planilla Mes anterior'!$CX:$CY,2,0),0)</f>
        <v>15933236</v>
      </c>
      <c r="AJ203" s="95">
        <v>0</v>
      </c>
    </row>
    <row r="204" spans="1:36" x14ac:dyDescent="0.3">
      <c r="A204" s="81">
        <v>90712899</v>
      </c>
      <c r="B204" s="5">
        <v>1015425043.0000001</v>
      </c>
      <c r="C204" s="36" t="s">
        <v>1722</v>
      </c>
      <c r="D204" s="36" t="s">
        <v>3456</v>
      </c>
      <c r="E204" s="39">
        <v>30</v>
      </c>
      <c r="F204" s="37">
        <v>0</v>
      </c>
      <c r="G204" s="37">
        <v>0</v>
      </c>
      <c r="H204" s="38">
        <v>12007440</v>
      </c>
      <c r="I204" s="39">
        <v>12007440</v>
      </c>
      <c r="J204" s="38">
        <v>820500</v>
      </c>
      <c r="K204" s="39">
        <v>12827940</v>
      </c>
      <c r="L204" s="39">
        <v>5131176</v>
      </c>
      <c r="M204" s="39"/>
      <c r="N204" s="39"/>
      <c r="O204" s="39"/>
      <c r="P204" s="38">
        <v>12007440</v>
      </c>
      <c r="Q204" s="39">
        <v>0</v>
      </c>
      <c r="R204" s="39">
        <v>0</v>
      </c>
      <c r="S204" s="40"/>
      <c r="T204" s="38">
        <v>0</v>
      </c>
      <c r="U204" s="40"/>
      <c r="V204" s="40">
        <v>480298</v>
      </c>
      <c r="W204" s="42"/>
      <c r="X204" s="40"/>
      <c r="Y204" s="40">
        <v>480298</v>
      </c>
      <c r="Z204" s="42"/>
      <c r="AA204" s="40"/>
      <c r="AB204" s="40"/>
      <c r="AC204" s="40">
        <v>120200</v>
      </c>
      <c r="AD204" s="42"/>
      <c r="AF204">
        <f>VLOOKUP(A204,Devengos!$A$4:$I$389,9,0)</f>
        <v>12007440</v>
      </c>
      <c r="AG204">
        <f t="shared" si="177"/>
        <v>12007440</v>
      </c>
      <c r="AH204">
        <f>IFERROR(VLOOKUP(B204,'Planilla Mes anterior'!$CX:$CY,2,0),0)</f>
        <v>12007440</v>
      </c>
      <c r="AJ204" s="95">
        <v>0</v>
      </c>
    </row>
    <row r="205" spans="1:36" x14ac:dyDescent="0.3">
      <c r="A205" s="81">
        <v>90712902</v>
      </c>
      <c r="B205" s="5">
        <v>64702120</v>
      </c>
      <c r="C205" s="36" t="s">
        <v>1726</v>
      </c>
      <c r="D205" s="36" t="s">
        <v>3456</v>
      </c>
      <c r="E205" s="39">
        <v>30</v>
      </c>
      <c r="F205" s="37">
        <v>0</v>
      </c>
      <c r="G205" s="37">
        <v>0</v>
      </c>
      <c r="H205" s="38">
        <v>4447039</v>
      </c>
      <c r="I205" s="39">
        <v>4447039</v>
      </c>
      <c r="J205" s="38">
        <v>820918</v>
      </c>
      <c r="K205" s="39">
        <v>5267957</v>
      </c>
      <c r="L205" s="39">
        <v>2107183</v>
      </c>
      <c r="M205" s="39"/>
      <c r="N205" s="39"/>
      <c r="O205" s="39"/>
      <c r="P205" s="38">
        <v>4447039</v>
      </c>
      <c r="Q205" s="39">
        <v>0</v>
      </c>
      <c r="R205" s="39">
        <v>0</v>
      </c>
      <c r="S205" s="40"/>
      <c r="T205" s="38">
        <v>0</v>
      </c>
      <c r="U205" s="40"/>
      <c r="V205" s="40">
        <v>177882</v>
      </c>
      <c r="W205" s="42"/>
      <c r="X205" s="40"/>
      <c r="Y205" s="40">
        <v>177882</v>
      </c>
      <c r="Z205" s="42"/>
      <c r="AA205" s="40"/>
      <c r="AB205" s="40"/>
      <c r="AC205" s="40">
        <v>0</v>
      </c>
      <c r="AD205" s="42"/>
      <c r="AF205">
        <f>VLOOKUP(A205,Devengos!$A$4:$I$389,9,0)</f>
        <v>4447039</v>
      </c>
      <c r="AG205">
        <f t="shared" si="177"/>
        <v>4447039</v>
      </c>
      <c r="AH205">
        <f>IFERROR(VLOOKUP(B205,'Planilla Mes anterior'!$CX:$CY,2,0),0)</f>
        <v>4447039</v>
      </c>
      <c r="AJ205" s="95">
        <v>0</v>
      </c>
    </row>
    <row r="206" spans="1:36" x14ac:dyDescent="0.3">
      <c r="A206" s="81">
        <v>90712913</v>
      </c>
      <c r="B206" s="5">
        <v>487063</v>
      </c>
      <c r="C206" s="36" t="s">
        <v>4080</v>
      </c>
      <c r="D206" s="36" t="s">
        <v>3344</v>
      </c>
      <c r="E206" s="39">
        <v>30</v>
      </c>
      <c r="F206" s="37">
        <v>0</v>
      </c>
      <c r="G206" s="37">
        <v>0</v>
      </c>
      <c r="H206" s="38">
        <v>22761765</v>
      </c>
      <c r="I206" s="39">
        <v>15933235</v>
      </c>
      <c r="J206" s="38">
        <v>859700</v>
      </c>
      <c r="K206" s="39">
        <v>23621465</v>
      </c>
      <c r="L206" s="39">
        <v>9448586</v>
      </c>
      <c r="M206" s="39"/>
      <c r="N206" s="39"/>
      <c r="O206" s="39"/>
      <c r="P206" s="38">
        <v>22761765.714</v>
      </c>
      <c r="Q206" s="39">
        <v>0</v>
      </c>
      <c r="R206" s="39">
        <v>0</v>
      </c>
      <c r="S206" s="40"/>
      <c r="T206" s="38"/>
      <c r="U206" s="40"/>
      <c r="V206" s="40">
        <v>637329</v>
      </c>
      <c r="W206" s="42"/>
      <c r="X206" s="40"/>
      <c r="Y206" s="40">
        <v>637329</v>
      </c>
      <c r="Z206" s="42"/>
      <c r="AA206" s="40"/>
      <c r="AB206" s="40"/>
      <c r="AC206" s="40">
        <v>159400</v>
      </c>
      <c r="AD206" s="42"/>
      <c r="AF206">
        <f>VLOOKUP(A206,Devengos!$A$4:$I$389,9,0)</f>
        <v>22761765</v>
      </c>
      <c r="AG206">
        <f t="shared" si="177"/>
        <v>15933236</v>
      </c>
      <c r="AH206">
        <f>IFERROR(VLOOKUP(B206,'Planilla Mes anterior'!$CX:$CY,2,0),0)</f>
        <v>15933236</v>
      </c>
      <c r="AJ206" s="95">
        <v>0</v>
      </c>
    </row>
    <row r="207" spans="1:36" x14ac:dyDescent="0.3">
      <c r="A207" s="81">
        <v>90712922</v>
      </c>
      <c r="B207" s="5">
        <v>7178055</v>
      </c>
      <c r="C207" s="36" t="s">
        <v>1731</v>
      </c>
      <c r="D207" s="36" t="s">
        <v>3456</v>
      </c>
      <c r="E207" s="39">
        <v>37</v>
      </c>
      <c r="F207" s="37">
        <v>0</v>
      </c>
      <c r="G207" s="37">
        <v>0</v>
      </c>
      <c r="H207" s="38">
        <v>7285991</v>
      </c>
      <c r="I207" s="39">
        <v>7285991</v>
      </c>
      <c r="J207" s="38">
        <v>773300</v>
      </c>
      <c r="K207" s="39">
        <v>8059291</v>
      </c>
      <c r="L207" s="39">
        <v>3223716</v>
      </c>
      <c r="M207" s="39"/>
      <c r="N207" s="39"/>
      <c r="O207" s="39"/>
      <c r="P207" s="38">
        <v>6043570</v>
      </c>
      <c r="Q207" s="39">
        <v>0</v>
      </c>
      <c r="R207" s="39">
        <v>0</v>
      </c>
      <c r="S207" s="40"/>
      <c r="T207" s="38">
        <v>0</v>
      </c>
      <c r="U207" s="40"/>
      <c r="V207" s="40">
        <v>291440</v>
      </c>
      <c r="W207" s="42"/>
      <c r="X207" s="40"/>
      <c r="Y207" s="40">
        <v>291440</v>
      </c>
      <c r="Z207" s="42"/>
      <c r="AA207" s="40"/>
      <c r="AB207" s="40"/>
      <c r="AC207" s="40">
        <v>73000</v>
      </c>
      <c r="AD207" s="42"/>
      <c r="AF207">
        <f>VLOOKUP(A207,Devengos!$A$4:$I$389,9,0)</f>
        <v>5883570</v>
      </c>
      <c r="AG207">
        <f t="shared" si="177"/>
        <v>5883570</v>
      </c>
      <c r="AH207">
        <f>IFERROR(VLOOKUP(B207,'Planilla Mes anterior'!$CX:$CY,2,0),0)</f>
        <v>6043570</v>
      </c>
      <c r="AJ207" s="95">
        <v>0</v>
      </c>
    </row>
    <row r="208" spans="1:36" x14ac:dyDescent="0.3">
      <c r="A208" s="81">
        <v>90713551</v>
      </c>
      <c r="B208" s="5">
        <v>1152717873</v>
      </c>
      <c r="C208" s="36" t="s">
        <v>1736</v>
      </c>
      <c r="D208" s="36" t="s">
        <v>3456</v>
      </c>
      <c r="E208" s="39">
        <v>30</v>
      </c>
      <c r="F208" s="37">
        <v>2</v>
      </c>
      <c r="G208" s="37">
        <v>0</v>
      </c>
      <c r="H208" s="38">
        <v>8605609</v>
      </c>
      <c r="I208" s="39">
        <v>8605609</v>
      </c>
      <c r="J208" s="38">
        <v>792900</v>
      </c>
      <c r="K208" s="39">
        <v>9398509</v>
      </c>
      <c r="L208" s="39">
        <v>3759404</v>
      </c>
      <c r="M208" s="39"/>
      <c r="N208" s="39"/>
      <c r="O208" s="39"/>
      <c r="P208" s="38">
        <v>9556997</v>
      </c>
      <c r="Q208" s="39">
        <v>637133</v>
      </c>
      <c r="R208" s="39">
        <v>0</v>
      </c>
      <c r="S208" s="40"/>
      <c r="T208" s="38">
        <v>0</v>
      </c>
      <c r="U208" s="40"/>
      <c r="V208" s="40">
        <v>369709</v>
      </c>
      <c r="W208" s="42"/>
      <c r="X208" s="40"/>
      <c r="Y208" s="40">
        <v>369709</v>
      </c>
      <c r="Z208" s="42"/>
      <c r="AA208" s="40"/>
      <c r="AB208" s="40"/>
      <c r="AC208" s="40">
        <v>92600</v>
      </c>
      <c r="AD208" s="42"/>
      <c r="AF208">
        <f>VLOOKUP(A208,Devengos!$A$4:$I$389,9,0)</f>
        <v>9220295.0099999998</v>
      </c>
      <c r="AG208">
        <f t="shared" si="177"/>
        <v>9220295.0099999998</v>
      </c>
      <c r="AH208">
        <f>IFERROR(VLOOKUP(B208,'Planilla Mes anterior'!$CX:$CY,2,0),0)</f>
        <v>9556997</v>
      </c>
      <c r="AJ208" s="95">
        <v>0</v>
      </c>
    </row>
    <row r="209" spans="1:36" x14ac:dyDescent="0.3">
      <c r="A209" s="81">
        <v>90713682</v>
      </c>
      <c r="B209" s="5">
        <v>7632754</v>
      </c>
      <c r="C209" s="36" t="s">
        <v>1740</v>
      </c>
      <c r="D209" s="36" t="s">
        <v>3456</v>
      </c>
      <c r="E209" s="39">
        <v>30</v>
      </c>
      <c r="F209" s="37">
        <v>0</v>
      </c>
      <c r="G209" s="37">
        <v>0</v>
      </c>
      <c r="H209" s="38">
        <v>13248360</v>
      </c>
      <c r="I209" s="39">
        <v>13248360</v>
      </c>
      <c r="J209" s="38">
        <v>832900</v>
      </c>
      <c r="K209" s="39">
        <v>14081260</v>
      </c>
      <c r="L209" s="39">
        <v>5632504</v>
      </c>
      <c r="M209" s="39"/>
      <c r="N209" s="39"/>
      <c r="O209" s="39"/>
      <c r="P209" s="38">
        <v>13248360</v>
      </c>
      <c r="Q209" s="39">
        <v>0</v>
      </c>
      <c r="R209" s="39">
        <v>0</v>
      </c>
      <c r="S209" s="40"/>
      <c r="T209" s="38">
        <v>0</v>
      </c>
      <c r="U209" s="40"/>
      <c r="V209" s="40">
        <v>529934</v>
      </c>
      <c r="W209" s="42"/>
      <c r="X209" s="40"/>
      <c r="Y209" s="40">
        <v>529934</v>
      </c>
      <c r="Z209" s="42"/>
      <c r="AA209" s="40"/>
      <c r="AB209" s="40"/>
      <c r="AC209" s="40">
        <v>132600</v>
      </c>
      <c r="AD209" s="42"/>
      <c r="AF209">
        <f>VLOOKUP(A209,Devengos!$A$4:$I$389,9,0)</f>
        <v>13248360</v>
      </c>
      <c r="AG209">
        <f t="shared" si="177"/>
        <v>13248360</v>
      </c>
      <c r="AH209">
        <f>IFERROR(VLOOKUP(B209,'Planilla Mes anterior'!$CX:$CY,2,0),0)</f>
        <v>13248360</v>
      </c>
      <c r="AJ209" s="95">
        <v>0</v>
      </c>
    </row>
    <row r="210" spans="1:36" x14ac:dyDescent="0.3">
      <c r="A210" s="81">
        <v>90713691</v>
      </c>
      <c r="B210" s="5">
        <v>1014263539.0000001</v>
      </c>
      <c r="C210" s="36" t="s">
        <v>1744</v>
      </c>
      <c r="D210" s="36" t="s">
        <v>3456</v>
      </c>
      <c r="E210" s="39">
        <v>30</v>
      </c>
      <c r="F210" s="37">
        <v>0</v>
      </c>
      <c r="G210" s="37">
        <v>0</v>
      </c>
      <c r="H210" s="38">
        <v>9559156</v>
      </c>
      <c r="I210" s="39">
        <v>9559156</v>
      </c>
      <c r="J210" s="38">
        <v>795900</v>
      </c>
      <c r="K210" s="39">
        <v>10355056</v>
      </c>
      <c r="L210" s="39">
        <v>4142022</v>
      </c>
      <c r="M210" s="39"/>
      <c r="N210" s="39"/>
      <c r="O210" s="39"/>
      <c r="P210" s="38">
        <v>9685935</v>
      </c>
      <c r="Q210" s="39">
        <v>0</v>
      </c>
      <c r="R210" s="39">
        <v>0</v>
      </c>
      <c r="S210" s="40"/>
      <c r="T210" s="38">
        <v>0</v>
      </c>
      <c r="U210" s="40"/>
      <c r="V210" s="40">
        <v>382366</v>
      </c>
      <c r="W210" s="42"/>
      <c r="X210" s="40"/>
      <c r="Y210" s="40">
        <v>382366</v>
      </c>
      <c r="Z210" s="42"/>
      <c r="AA210" s="40"/>
      <c r="AB210" s="40"/>
      <c r="AC210" s="40">
        <v>95600</v>
      </c>
      <c r="AD210" s="42"/>
      <c r="AF210">
        <f>VLOOKUP(A210,Devengos!$A$4:$I$389,9,0)</f>
        <v>8925260</v>
      </c>
      <c r="AG210">
        <f t="shared" si="177"/>
        <v>8925260</v>
      </c>
      <c r="AH210">
        <f>IFERROR(VLOOKUP(B210,'Planilla Mes anterior'!$CX:$CY,2,0),0)</f>
        <v>9685935</v>
      </c>
      <c r="AJ210" s="95">
        <v>0</v>
      </c>
    </row>
    <row r="211" spans="1:36" x14ac:dyDescent="0.3">
      <c r="A211" s="81">
        <v>90713714</v>
      </c>
      <c r="B211" s="5">
        <v>31577235</v>
      </c>
      <c r="C211" s="36" t="s">
        <v>3882</v>
      </c>
      <c r="D211" s="36" t="s">
        <v>3344</v>
      </c>
      <c r="E211" s="39">
        <v>31</v>
      </c>
      <c r="F211" s="37">
        <v>0</v>
      </c>
      <c r="G211" s="37">
        <v>0</v>
      </c>
      <c r="H211" s="38">
        <v>75231856</v>
      </c>
      <c r="I211" s="39">
        <v>52662299</v>
      </c>
      <c r="J211" s="38">
        <v>1575800</v>
      </c>
      <c r="K211" s="39">
        <v>76807656</v>
      </c>
      <c r="L211" s="39">
        <v>30723062</v>
      </c>
      <c r="M211" s="39"/>
      <c r="N211" s="39"/>
      <c r="O211" s="39"/>
      <c r="P211" s="38">
        <v>51725000</v>
      </c>
      <c r="Q211" s="39">
        <v>0</v>
      </c>
      <c r="R211" s="39">
        <v>0</v>
      </c>
      <c r="S211" s="40"/>
      <c r="T211" s="38"/>
      <c r="U211" s="40"/>
      <c r="V211" s="40">
        <v>1750905</v>
      </c>
      <c r="W211" s="42"/>
      <c r="X211" s="40"/>
      <c r="Y211" s="40">
        <v>1750905</v>
      </c>
      <c r="Z211" s="42"/>
      <c r="AA211" s="40"/>
      <c r="AB211" s="40"/>
      <c r="AC211" s="40">
        <v>875500</v>
      </c>
      <c r="AD211" s="42"/>
      <c r="AF211">
        <f>VLOOKUP(A211,Devengos!$A$4:$I$389,9,0)</f>
        <v>39225000</v>
      </c>
      <c r="AG211">
        <f t="shared" si="177"/>
        <v>27457500</v>
      </c>
      <c r="AH211">
        <f>IFERROR(VLOOKUP(B211,'Planilla Mes anterior'!$CX:$CY,2,0),0)</f>
        <v>36207500</v>
      </c>
      <c r="AJ211" s="95">
        <v>0</v>
      </c>
    </row>
    <row r="212" spans="1:36" x14ac:dyDescent="0.3">
      <c r="A212" s="81">
        <v>90713722</v>
      </c>
      <c r="B212" s="5">
        <v>1006117174</v>
      </c>
      <c r="C212" s="36" t="s">
        <v>1749</v>
      </c>
      <c r="D212" s="36" t="s">
        <v>3456</v>
      </c>
      <c r="E212" s="39">
        <v>30</v>
      </c>
      <c r="F212" s="37">
        <v>1</v>
      </c>
      <c r="G212" s="37">
        <v>0</v>
      </c>
      <c r="H212" s="38">
        <v>9222000</v>
      </c>
      <c r="I212" s="39">
        <v>9222000</v>
      </c>
      <c r="J212" s="38">
        <v>795900</v>
      </c>
      <c r="K212" s="39">
        <v>10017900</v>
      </c>
      <c r="L212" s="39">
        <v>4007160</v>
      </c>
      <c r="M212" s="39"/>
      <c r="N212" s="39"/>
      <c r="O212" s="39"/>
      <c r="P212" s="38">
        <v>9540000</v>
      </c>
      <c r="Q212" s="39">
        <v>318000</v>
      </c>
      <c r="R212" s="39">
        <v>0</v>
      </c>
      <c r="S212" s="40"/>
      <c r="T212" s="38">
        <v>0</v>
      </c>
      <c r="U212" s="40"/>
      <c r="V212" s="40">
        <v>381600</v>
      </c>
      <c r="W212" s="42"/>
      <c r="X212" s="40"/>
      <c r="Y212" s="40">
        <v>381600</v>
      </c>
      <c r="Z212" s="42"/>
      <c r="AA212" s="40"/>
      <c r="AB212" s="40"/>
      <c r="AC212" s="40">
        <v>95600</v>
      </c>
      <c r="AD212" s="42"/>
      <c r="AF212">
        <f>VLOOKUP(A212,Devengos!$A$4:$I$389,9,0)</f>
        <v>9540000</v>
      </c>
      <c r="AG212">
        <f t="shared" si="177"/>
        <v>9540000</v>
      </c>
      <c r="AH212">
        <f>IFERROR(VLOOKUP(B212,'Planilla Mes anterior'!$CX:$CY,2,0),0)</f>
        <v>9540000</v>
      </c>
      <c r="AJ212" s="95">
        <v>0</v>
      </c>
    </row>
    <row r="213" spans="1:36" x14ac:dyDescent="0.3">
      <c r="A213" s="81">
        <v>90713769</v>
      </c>
      <c r="B213" s="5">
        <v>1045757980.9999999</v>
      </c>
      <c r="C213" s="36" t="s">
        <v>1753</v>
      </c>
      <c r="D213" s="36" t="s">
        <v>3456</v>
      </c>
      <c r="E213" s="39">
        <v>30</v>
      </c>
      <c r="F213" s="37">
        <v>0</v>
      </c>
      <c r="G213" s="37">
        <v>0</v>
      </c>
      <c r="H213" s="38">
        <v>5932168</v>
      </c>
      <c r="I213" s="39">
        <v>5932168</v>
      </c>
      <c r="J213" s="38">
        <v>1102358</v>
      </c>
      <c r="K213" s="39">
        <v>7034526</v>
      </c>
      <c r="L213" s="39">
        <v>2813810</v>
      </c>
      <c r="M213" s="39"/>
      <c r="N213" s="39"/>
      <c r="O213" s="39"/>
      <c r="P213" s="38">
        <v>6796973</v>
      </c>
      <c r="Q213" s="39">
        <v>0</v>
      </c>
      <c r="R213" s="39">
        <v>0</v>
      </c>
      <c r="S213" s="40"/>
      <c r="T213" s="38">
        <v>0</v>
      </c>
      <c r="U213" s="40"/>
      <c r="V213" s="40">
        <v>237287</v>
      </c>
      <c r="W213" s="42"/>
      <c r="X213" s="40"/>
      <c r="Y213" s="40">
        <v>237287</v>
      </c>
      <c r="Z213" s="42"/>
      <c r="AA213" s="40"/>
      <c r="AB213" s="40"/>
      <c r="AC213" s="40">
        <v>0</v>
      </c>
      <c r="AD213" s="42"/>
      <c r="AF213">
        <f>VLOOKUP(A213,Devengos!$A$4:$I$389,9,0)</f>
        <v>5932168</v>
      </c>
      <c r="AG213">
        <f t="shared" si="177"/>
        <v>5932168</v>
      </c>
      <c r="AH213">
        <f>IFERROR(VLOOKUP(B213,'Planilla Mes anterior'!$CX:$CY,2,0),0)</f>
        <v>6796973</v>
      </c>
      <c r="AJ213" s="95">
        <v>0</v>
      </c>
    </row>
    <row r="214" spans="1:36" x14ac:dyDescent="0.3">
      <c r="A214" s="81">
        <v>90713772</v>
      </c>
      <c r="B214" s="5">
        <v>1032477984.9999999</v>
      </c>
      <c r="C214" s="36" t="s">
        <v>1757</v>
      </c>
      <c r="D214" s="36" t="s">
        <v>3456</v>
      </c>
      <c r="E214" s="39">
        <v>31</v>
      </c>
      <c r="F214" s="37">
        <v>0</v>
      </c>
      <c r="G214" s="37">
        <v>0</v>
      </c>
      <c r="H214" s="38">
        <v>5155081</v>
      </c>
      <c r="I214" s="39">
        <v>5155081</v>
      </c>
      <c r="J214" s="38">
        <v>700300</v>
      </c>
      <c r="K214" s="39">
        <v>5855381</v>
      </c>
      <c r="L214" s="39">
        <v>2342152</v>
      </c>
      <c r="M214" s="39"/>
      <c r="N214" s="39"/>
      <c r="O214" s="39"/>
      <c r="P214" s="38">
        <v>5084567</v>
      </c>
      <c r="Q214" s="39">
        <v>0</v>
      </c>
      <c r="R214" s="39">
        <v>0</v>
      </c>
      <c r="S214" s="40"/>
      <c r="T214" s="38">
        <v>0</v>
      </c>
      <c r="U214" s="40"/>
      <c r="V214" s="40">
        <v>206203</v>
      </c>
      <c r="W214" s="42"/>
      <c r="X214" s="40"/>
      <c r="Y214" s="40">
        <v>206203</v>
      </c>
      <c r="Z214" s="42"/>
      <c r="AA214" s="40"/>
      <c r="AB214" s="40"/>
      <c r="AC214" s="40">
        <v>0</v>
      </c>
      <c r="AD214" s="42"/>
      <c r="AF214">
        <f>VLOOKUP(A214,Devengos!$A$4:$I$389,9,0)</f>
        <v>5565080</v>
      </c>
      <c r="AG214">
        <f t="shared" si="177"/>
        <v>5565080</v>
      </c>
      <c r="AH214">
        <f>IFERROR(VLOOKUP(B214,'Planilla Mes anterior'!$CX:$CY,2,0),0)</f>
        <v>5084567</v>
      </c>
      <c r="AJ214" s="95">
        <v>0</v>
      </c>
    </row>
    <row r="215" spans="1:36" x14ac:dyDescent="0.3">
      <c r="A215" s="81">
        <v>90713815</v>
      </c>
      <c r="B215" s="5">
        <v>1124067723</v>
      </c>
      <c r="C215" s="36" t="s">
        <v>1761</v>
      </c>
      <c r="D215" s="36" t="s">
        <v>3456</v>
      </c>
      <c r="E215" s="39">
        <v>30</v>
      </c>
      <c r="F215" s="37">
        <v>0</v>
      </c>
      <c r="G215" s="37">
        <v>0</v>
      </c>
      <c r="H215" s="38">
        <v>12512102</v>
      </c>
      <c r="I215" s="39">
        <v>12512102</v>
      </c>
      <c r="J215" s="38">
        <v>825500</v>
      </c>
      <c r="K215" s="39">
        <v>13337602</v>
      </c>
      <c r="L215" s="39">
        <v>5335041</v>
      </c>
      <c r="M215" s="39"/>
      <c r="N215" s="39"/>
      <c r="O215" s="39"/>
      <c r="P215" s="38">
        <v>17021342</v>
      </c>
      <c r="Q215" s="39">
        <v>0</v>
      </c>
      <c r="R215" s="39">
        <v>0</v>
      </c>
      <c r="S215" s="40"/>
      <c r="T215" s="38">
        <v>0</v>
      </c>
      <c r="U215" s="40"/>
      <c r="V215" s="40">
        <v>500484</v>
      </c>
      <c r="W215" s="42"/>
      <c r="X215" s="40"/>
      <c r="Y215" s="40">
        <v>500484</v>
      </c>
      <c r="Z215" s="42"/>
      <c r="AA215" s="40"/>
      <c r="AB215" s="40"/>
      <c r="AC215" s="40">
        <v>125200</v>
      </c>
      <c r="AD215" s="42"/>
      <c r="AF215">
        <f>VLOOKUP(A215,Devengos!$A$4:$I$389,9,0)</f>
        <v>12512102</v>
      </c>
      <c r="AG215">
        <f t="shared" si="177"/>
        <v>12512102</v>
      </c>
      <c r="AH215">
        <f>IFERROR(VLOOKUP(B215,'Planilla Mes anterior'!$CX:$CY,2,0),0)</f>
        <v>17021342</v>
      </c>
      <c r="AJ215" s="95">
        <v>0</v>
      </c>
    </row>
    <row r="216" spans="1:36" x14ac:dyDescent="0.3">
      <c r="A216" s="81">
        <v>90714079</v>
      </c>
      <c r="B216" s="5">
        <v>1000751814</v>
      </c>
      <c r="C216" s="36" t="s">
        <v>1766</v>
      </c>
      <c r="D216" s="36" t="s">
        <v>3456</v>
      </c>
      <c r="E216" s="39">
        <v>30</v>
      </c>
      <c r="F216" s="37">
        <v>0</v>
      </c>
      <c r="G216" s="37">
        <v>0</v>
      </c>
      <c r="H216" s="38">
        <v>12434700</v>
      </c>
      <c r="I216" s="39">
        <v>12434700</v>
      </c>
      <c r="J216" s="38">
        <v>824700</v>
      </c>
      <c r="K216" s="39">
        <v>13259400</v>
      </c>
      <c r="L216" s="39">
        <v>5303760</v>
      </c>
      <c r="M216" s="39"/>
      <c r="N216" s="39"/>
      <c r="O216" s="39"/>
      <c r="P216" s="38">
        <v>14895231</v>
      </c>
      <c r="Q216" s="39">
        <v>0</v>
      </c>
      <c r="R216" s="39">
        <v>0</v>
      </c>
      <c r="S216" s="40"/>
      <c r="T216" s="38">
        <v>0</v>
      </c>
      <c r="U216" s="40"/>
      <c r="V216" s="40">
        <v>497388</v>
      </c>
      <c r="W216" s="42"/>
      <c r="X216" s="40"/>
      <c r="Y216" s="40">
        <v>497388</v>
      </c>
      <c r="Z216" s="42"/>
      <c r="AA216" s="40"/>
      <c r="AB216" s="40"/>
      <c r="AC216" s="40">
        <v>124400</v>
      </c>
      <c r="AD216" s="42"/>
      <c r="AF216">
        <f>VLOOKUP(A216,Devengos!$A$4:$I$389,9,0)</f>
        <v>12434700</v>
      </c>
      <c r="AG216">
        <f t="shared" si="177"/>
        <v>12434700</v>
      </c>
      <c r="AH216">
        <f>IFERROR(VLOOKUP(B216,'Planilla Mes anterior'!$CX:$CY,2,0),0)</f>
        <v>14895231</v>
      </c>
      <c r="AJ216" s="95">
        <v>0</v>
      </c>
    </row>
    <row r="217" spans="1:36" x14ac:dyDescent="0.3">
      <c r="A217" s="81">
        <v>90714080</v>
      </c>
      <c r="B217" s="5">
        <v>1003516139.0000001</v>
      </c>
      <c r="C217" s="36" t="s">
        <v>1770</v>
      </c>
      <c r="D217" s="36" t="s">
        <v>3456</v>
      </c>
      <c r="E217" s="39">
        <v>30</v>
      </c>
      <c r="F217" s="37">
        <v>2</v>
      </c>
      <c r="G217" s="37">
        <v>0</v>
      </c>
      <c r="H217" s="38">
        <v>5342400</v>
      </c>
      <c r="I217" s="39">
        <v>5342400</v>
      </c>
      <c r="J217" s="38">
        <v>700300</v>
      </c>
      <c r="K217" s="39">
        <v>6042700</v>
      </c>
      <c r="L217" s="39">
        <v>2417080</v>
      </c>
      <c r="M217" s="39"/>
      <c r="N217" s="39"/>
      <c r="O217" s="39"/>
      <c r="P217" s="38">
        <v>5724000</v>
      </c>
      <c r="Q217" s="39">
        <v>381600</v>
      </c>
      <c r="R217" s="39">
        <v>0</v>
      </c>
      <c r="S217" s="40"/>
      <c r="T217" s="38">
        <v>0</v>
      </c>
      <c r="U217" s="40"/>
      <c r="V217" s="40">
        <v>228960</v>
      </c>
      <c r="W217" s="42"/>
      <c r="X217" s="40"/>
      <c r="Y217" s="40">
        <v>228960</v>
      </c>
      <c r="Z217" s="42"/>
      <c r="AA217" s="40"/>
      <c r="AB217" s="40"/>
      <c r="AC217" s="40">
        <v>0</v>
      </c>
      <c r="AD217" s="42"/>
      <c r="AF217">
        <f>VLOOKUP(A217,Devengos!$A$4:$I$389,9,0)</f>
        <v>5724000</v>
      </c>
      <c r="AG217">
        <f t="shared" si="177"/>
        <v>5724000</v>
      </c>
      <c r="AH217">
        <f>IFERROR(VLOOKUP(B217,'Planilla Mes anterior'!$CX:$CY,2,0),0)</f>
        <v>5724000</v>
      </c>
      <c r="AJ217" s="95">
        <v>0</v>
      </c>
    </row>
    <row r="218" spans="1:36" x14ac:dyDescent="0.3">
      <c r="A218" s="81">
        <v>90714348</v>
      </c>
      <c r="B218" s="5">
        <v>1024587912</v>
      </c>
      <c r="C218" s="36" t="s">
        <v>1774</v>
      </c>
      <c r="D218" s="36" t="s">
        <v>3456</v>
      </c>
      <c r="E218" s="39">
        <v>30</v>
      </c>
      <c r="F218" s="37">
        <v>0</v>
      </c>
      <c r="G218" s="37">
        <v>0</v>
      </c>
      <c r="H218" s="38">
        <v>2624177</v>
      </c>
      <c r="I218" s="39">
        <v>2624177</v>
      </c>
      <c r="J218" s="38">
        <v>700300</v>
      </c>
      <c r="K218" s="39">
        <v>3324477</v>
      </c>
      <c r="L218" s="39">
        <v>1329791</v>
      </c>
      <c r="M218" s="39"/>
      <c r="N218" s="39"/>
      <c r="O218" s="39"/>
      <c r="P218" s="38">
        <v>2961038</v>
      </c>
      <c r="Q218" s="39">
        <v>0</v>
      </c>
      <c r="R218" s="39">
        <v>0</v>
      </c>
      <c r="S218" s="40"/>
      <c r="T218" s="38">
        <v>0</v>
      </c>
      <c r="U218" s="40"/>
      <c r="V218" s="40">
        <v>104967</v>
      </c>
      <c r="W218" s="42"/>
      <c r="X218" s="40"/>
      <c r="Y218" s="40">
        <v>104967</v>
      </c>
      <c r="Z218" s="42"/>
      <c r="AA218" s="40"/>
      <c r="AB218" s="40"/>
      <c r="AC218" s="40">
        <v>0</v>
      </c>
      <c r="AD218" s="42"/>
      <c r="AF218">
        <f>VLOOKUP(A218,Devengos!$A$4:$I$389,9,0)</f>
        <v>2251370</v>
      </c>
      <c r="AG218">
        <f t="shared" si="177"/>
        <v>2251370</v>
      </c>
      <c r="AH218">
        <f>IFERROR(VLOOKUP(B218,'Planilla Mes anterior'!$CX:$CY,2,0),0)</f>
        <v>2961038</v>
      </c>
      <c r="AJ218" s="95">
        <v>0</v>
      </c>
    </row>
    <row r="219" spans="1:36" x14ac:dyDescent="0.3">
      <c r="A219" s="81">
        <v>90714349</v>
      </c>
      <c r="B219" s="5">
        <v>1148697464</v>
      </c>
      <c r="C219" s="36" t="s">
        <v>1779</v>
      </c>
      <c r="D219" s="36" t="s">
        <v>3456</v>
      </c>
      <c r="E219" s="39">
        <v>30</v>
      </c>
      <c r="F219" s="37">
        <v>0</v>
      </c>
      <c r="G219" s="37">
        <v>0</v>
      </c>
      <c r="H219" s="38">
        <v>11212786</v>
      </c>
      <c r="I219" s="39">
        <v>11212786</v>
      </c>
      <c r="J219" s="38">
        <v>812500</v>
      </c>
      <c r="K219" s="39">
        <v>12025286</v>
      </c>
      <c r="L219" s="39">
        <v>4810114</v>
      </c>
      <c r="M219" s="39"/>
      <c r="N219" s="39"/>
      <c r="O219" s="39"/>
      <c r="P219" s="38">
        <v>11212786</v>
      </c>
      <c r="Q219" s="39">
        <v>0</v>
      </c>
      <c r="R219" s="39">
        <v>0</v>
      </c>
      <c r="S219" s="40"/>
      <c r="T219" s="38">
        <v>0</v>
      </c>
      <c r="U219" s="40"/>
      <c r="V219" s="40">
        <v>448511</v>
      </c>
      <c r="W219" s="42"/>
      <c r="X219" s="40"/>
      <c r="Y219" s="40">
        <v>448511</v>
      </c>
      <c r="Z219" s="42"/>
      <c r="AA219" s="40"/>
      <c r="AB219" s="40"/>
      <c r="AC219" s="40">
        <v>112200</v>
      </c>
      <c r="AD219" s="42"/>
      <c r="AF219">
        <f>VLOOKUP(A219,Devengos!$A$4:$I$389,9,0)</f>
        <v>11212786</v>
      </c>
      <c r="AG219">
        <f t="shared" si="177"/>
        <v>11212786</v>
      </c>
      <c r="AH219">
        <f>IFERROR(VLOOKUP(B219,'Planilla Mes anterior'!$CX:$CY,2,0),0)</f>
        <v>11212786</v>
      </c>
      <c r="AJ219" s="95">
        <v>0</v>
      </c>
    </row>
    <row r="220" spans="1:36" x14ac:dyDescent="0.3">
      <c r="A220" s="81">
        <v>90714551</v>
      </c>
      <c r="B220" s="5">
        <v>1023905256</v>
      </c>
      <c r="C220" s="36" t="s">
        <v>1783</v>
      </c>
      <c r="D220" s="36" t="s">
        <v>3456</v>
      </c>
      <c r="E220" s="39">
        <v>30</v>
      </c>
      <c r="F220" s="37">
        <v>0</v>
      </c>
      <c r="G220" s="37">
        <v>0</v>
      </c>
      <c r="H220" s="38">
        <v>13595040</v>
      </c>
      <c r="I220" s="39">
        <v>13595040</v>
      </c>
      <c r="J220" s="38">
        <v>836300</v>
      </c>
      <c r="K220" s="39">
        <v>14431340</v>
      </c>
      <c r="L220" s="39">
        <v>5772536</v>
      </c>
      <c r="M220" s="39"/>
      <c r="N220" s="39"/>
      <c r="O220" s="39"/>
      <c r="P220" s="38">
        <v>13595040</v>
      </c>
      <c r="Q220" s="39">
        <v>0</v>
      </c>
      <c r="R220" s="39">
        <v>0</v>
      </c>
      <c r="S220" s="40"/>
      <c r="T220" s="38">
        <v>0</v>
      </c>
      <c r="U220" s="40"/>
      <c r="V220" s="40">
        <v>543802</v>
      </c>
      <c r="W220" s="42"/>
      <c r="X220" s="40"/>
      <c r="Y220" s="40">
        <v>543802</v>
      </c>
      <c r="Z220" s="42"/>
      <c r="AA220" s="40"/>
      <c r="AB220" s="40"/>
      <c r="AC220" s="40">
        <v>136000</v>
      </c>
      <c r="AD220" s="42"/>
      <c r="AF220">
        <f>VLOOKUP(A220,Devengos!$A$4:$I$389,9,0)</f>
        <v>13595040</v>
      </c>
      <c r="AG220">
        <f t="shared" si="177"/>
        <v>13595040</v>
      </c>
      <c r="AH220">
        <f>IFERROR(VLOOKUP(B220,'Planilla Mes anterior'!$CX:$CY,2,0),0)</f>
        <v>13595040</v>
      </c>
      <c r="AJ220" s="95">
        <v>0</v>
      </c>
    </row>
    <row r="221" spans="1:36" x14ac:dyDescent="0.3">
      <c r="A221" s="81">
        <v>90714776</v>
      </c>
      <c r="B221" s="5">
        <v>1098832030</v>
      </c>
      <c r="C221" s="36" t="s">
        <v>1787</v>
      </c>
      <c r="D221" s="36" t="s">
        <v>3456</v>
      </c>
      <c r="E221" s="39">
        <v>30</v>
      </c>
      <c r="F221" s="37">
        <v>2</v>
      </c>
      <c r="G221" s="37">
        <v>0</v>
      </c>
      <c r="H221" s="38">
        <v>5247921</v>
      </c>
      <c r="I221" s="39">
        <v>5247921</v>
      </c>
      <c r="J221" s="38">
        <v>700300</v>
      </c>
      <c r="K221" s="39">
        <v>5948221</v>
      </c>
      <c r="L221" s="39">
        <v>2379288</v>
      </c>
      <c r="M221" s="39"/>
      <c r="N221" s="39"/>
      <c r="O221" s="39"/>
      <c r="P221" s="38">
        <v>5622773</v>
      </c>
      <c r="Q221" s="39">
        <v>374852</v>
      </c>
      <c r="R221" s="39">
        <v>0</v>
      </c>
      <c r="S221" s="40"/>
      <c r="T221" s="38">
        <v>0</v>
      </c>
      <c r="U221" s="40"/>
      <c r="V221" s="40">
        <v>224911</v>
      </c>
      <c r="W221" s="42"/>
      <c r="X221" s="40"/>
      <c r="Y221" s="40">
        <v>224911</v>
      </c>
      <c r="Z221" s="42"/>
      <c r="AA221" s="40"/>
      <c r="AB221" s="40"/>
      <c r="AC221" s="40">
        <v>0</v>
      </c>
      <c r="AD221" s="42"/>
      <c r="AF221">
        <f>VLOOKUP(A221,Devengos!$A$4:$I$389,9,0)</f>
        <v>5622773</v>
      </c>
      <c r="AG221">
        <f t="shared" si="177"/>
        <v>5622773</v>
      </c>
      <c r="AH221">
        <f>IFERROR(VLOOKUP(B221,'Planilla Mes anterior'!$CX:$CY,2,0),0)</f>
        <v>5622773</v>
      </c>
      <c r="AJ221" s="95">
        <v>0</v>
      </c>
    </row>
    <row r="222" spans="1:36" x14ac:dyDescent="0.3">
      <c r="A222" s="81">
        <v>90714799</v>
      </c>
      <c r="B222" s="5">
        <v>1019122055.0000001</v>
      </c>
      <c r="C222" s="36" t="s">
        <v>1792</v>
      </c>
      <c r="D222" s="36" t="s">
        <v>3456</v>
      </c>
      <c r="E222" s="39">
        <v>30</v>
      </c>
      <c r="F222" s="37">
        <v>9</v>
      </c>
      <c r="G222" s="37">
        <v>0</v>
      </c>
      <c r="H222" s="38">
        <v>4639460</v>
      </c>
      <c r="I222" s="39">
        <v>4639460</v>
      </c>
      <c r="J222" s="38">
        <v>700300</v>
      </c>
      <c r="K222" s="39">
        <v>5339760</v>
      </c>
      <c r="L222" s="39">
        <v>2135904</v>
      </c>
      <c r="M222" s="39"/>
      <c r="N222" s="39"/>
      <c r="O222" s="39"/>
      <c r="P222" s="38">
        <v>7187800</v>
      </c>
      <c r="Q222" s="39">
        <v>2156340</v>
      </c>
      <c r="R222" s="39">
        <v>0</v>
      </c>
      <c r="S222" s="40"/>
      <c r="T222" s="38">
        <v>0</v>
      </c>
      <c r="U222" s="40"/>
      <c r="V222" s="40">
        <v>271832</v>
      </c>
      <c r="W222" s="42"/>
      <c r="X222" s="40"/>
      <c r="Y222" s="40">
        <v>271832</v>
      </c>
      <c r="Z222" s="42"/>
      <c r="AA222" s="40"/>
      <c r="AB222" s="40"/>
      <c r="AC222" s="40">
        <v>0</v>
      </c>
      <c r="AD222" s="42"/>
      <c r="AF222">
        <f>VLOOKUP(A222,Devengos!$A$4:$I$389,9,0)</f>
        <v>6627800</v>
      </c>
      <c r="AG222">
        <f t="shared" si="177"/>
        <v>6627800</v>
      </c>
      <c r="AH222">
        <f>IFERROR(VLOOKUP(B222,'Planilla Mes anterior'!$CX:$CY,2,0),0)</f>
        <v>7187800</v>
      </c>
      <c r="AJ222" s="95">
        <v>0</v>
      </c>
    </row>
    <row r="223" spans="1:36" x14ac:dyDescent="0.3">
      <c r="A223" s="81">
        <v>90714842</v>
      </c>
      <c r="B223" s="5">
        <v>1007769970</v>
      </c>
      <c r="C223" s="36" t="s">
        <v>1796</v>
      </c>
      <c r="D223" s="36" t="s">
        <v>3456</v>
      </c>
      <c r="E223" s="39">
        <v>30</v>
      </c>
      <c r="F223" s="37">
        <v>0</v>
      </c>
      <c r="G223" s="37">
        <v>0</v>
      </c>
      <c r="H223" s="38">
        <v>5231000</v>
      </c>
      <c r="I223" s="39">
        <v>5231000</v>
      </c>
      <c r="J223" s="38">
        <v>700300</v>
      </c>
      <c r="K223" s="39">
        <v>5931300</v>
      </c>
      <c r="L223" s="39">
        <v>2372520</v>
      </c>
      <c r="M223" s="39"/>
      <c r="N223" s="39"/>
      <c r="O223" s="39"/>
      <c r="P223" s="38">
        <v>5236008</v>
      </c>
      <c r="Q223" s="39">
        <v>0</v>
      </c>
      <c r="R223" s="39">
        <v>0</v>
      </c>
      <c r="S223" s="40"/>
      <c r="T223" s="38">
        <v>0</v>
      </c>
      <c r="U223" s="40"/>
      <c r="V223" s="40">
        <v>209240</v>
      </c>
      <c r="W223" s="42"/>
      <c r="X223" s="40"/>
      <c r="Y223" s="40">
        <v>209240</v>
      </c>
      <c r="Z223" s="42"/>
      <c r="AA223" s="40"/>
      <c r="AB223" s="40"/>
      <c r="AC223" s="40">
        <v>0</v>
      </c>
      <c r="AD223" s="42"/>
      <c r="AF223">
        <f>VLOOKUP(A223,Devengos!$A$4:$I$389,9,0)</f>
        <v>5231000</v>
      </c>
      <c r="AG223">
        <f t="shared" si="177"/>
        <v>5231000</v>
      </c>
      <c r="AH223">
        <f>IFERROR(VLOOKUP(B223,'Planilla Mes anterior'!$CX:$CY,2,0),0)</f>
        <v>5236008</v>
      </c>
      <c r="AJ223" s="95">
        <v>0</v>
      </c>
    </row>
    <row r="224" spans="1:36" x14ac:dyDescent="0.3">
      <c r="A224" s="81">
        <v>90715242</v>
      </c>
      <c r="B224" s="5">
        <v>1128462150</v>
      </c>
      <c r="C224" s="36" t="s">
        <v>1801</v>
      </c>
      <c r="D224" s="36" t="s">
        <v>3344</v>
      </c>
      <c r="E224" s="39">
        <v>30</v>
      </c>
      <c r="F224" s="37">
        <v>1</v>
      </c>
      <c r="G224" s="37">
        <v>0</v>
      </c>
      <c r="H224" s="38">
        <v>22003040</v>
      </c>
      <c r="I224" s="39">
        <v>15402128</v>
      </c>
      <c r="J224" s="38">
        <v>859900</v>
      </c>
      <c r="K224" s="39">
        <v>22862940</v>
      </c>
      <c r="L224" s="39">
        <v>9145176</v>
      </c>
      <c r="M224" s="39"/>
      <c r="N224" s="39"/>
      <c r="O224" s="39"/>
      <c r="P224" s="38">
        <v>15933236</v>
      </c>
      <c r="Q224" s="39">
        <v>531108</v>
      </c>
      <c r="R224" s="39">
        <v>0</v>
      </c>
      <c r="S224" s="40"/>
      <c r="T224" s="38"/>
      <c r="U224" s="40"/>
      <c r="V224" s="40">
        <v>637329</v>
      </c>
      <c r="W224" s="42"/>
      <c r="X224" s="40"/>
      <c r="Y224" s="40">
        <v>637329</v>
      </c>
      <c r="Z224" s="42"/>
      <c r="AA224" s="40"/>
      <c r="AB224" s="40"/>
      <c r="AC224" s="40">
        <v>159600</v>
      </c>
      <c r="AD224" s="42"/>
      <c r="AF224">
        <f>VLOOKUP(A224,Devengos!$A$4:$I$389,9,0)</f>
        <v>22761765</v>
      </c>
      <c r="AG224">
        <f t="shared" si="177"/>
        <v>15933236</v>
      </c>
      <c r="AH224">
        <f>IFERROR(VLOOKUP(B224,'Planilla Mes anterior'!$CX:$CY,2,0),0)</f>
        <v>15933236</v>
      </c>
      <c r="AJ224" s="95">
        <v>0</v>
      </c>
    </row>
    <row r="225" spans="1:36" x14ac:dyDescent="0.3">
      <c r="A225" s="81">
        <v>90715381</v>
      </c>
      <c r="B225" s="5">
        <v>1098647949</v>
      </c>
      <c r="C225" s="36" t="s">
        <v>1806</v>
      </c>
      <c r="D225" s="36" t="s">
        <v>3456</v>
      </c>
      <c r="E225" s="39">
        <v>30</v>
      </c>
      <c r="F225" s="37">
        <v>0</v>
      </c>
      <c r="G225" s="37">
        <v>0</v>
      </c>
      <c r="H225" s="38">
        <v>7777098</v>
      </c>
      <c r="I225" s="39">
        <v>7777098</v>
      </c>
      <c r="J225" s="38">
        <v>778100</v>
      </c>
      <c r="K225" s="39">
        <v>8555198</v>
      </c>
      <c r="L225" s="39">
        <v>3422079</v>
      </c>
      <c r="M225" s="39"/>
      <c r="N225" s="39"/>
      <c r="O225" s="39"/>
      <c r="P225" s="38">
        <v>7777098</v>
      </c>
      <c r="Q225" s="39">
        <v>0</v>
      </c>
      <c r="R225" s="39">
        <v>0</v>
      </c>
      <c r="S225" s="40"/>
      <c r="T225" s="38">
        <v>0</v>
      </c>
      <c r="U225" s="40"/>
      <c r="V225" s="40">
        <v>311084</v>
      </c>
      <c r="W225" s="42"/>
      <c r="X225" s="40"/>
      <c r="Y225" s="40">
        <v>311084</v>
      </c>
      <c r="Z225" s="42"/>
      <c r="AA225" s="40"/>
      <c r="AB225" s="40"/>
      <c r="AC225" s="40">
        <v>77800</v>
      </c>
      <c r="AD225" s="42"/>
      <c r="AF225">
        <f>VLOOKUP(A225,Devengos!$A$4:$I$389,9,0)</f>
        <v>7777098</v>
      </c>
      <c r="AG225">
        <f t="shared" si="177"/>
        <v>7777098</v>
      </c>
      <c r="AH225">
        <f>IFERROR(VLOOKUP(B225,'Planilla Mes anterior'!$CX:$CY,2,0),0)</f>
        <v>7777098</v>
      </c>
      <c r="AJ225" s="95">
        <v>0</v>
      </c>
    </row>
    <row r="226" spans="1:36" x14ac:dyDescent="0.3">
      <c r="A226" s="81">
        <v>90715384</v>
      </c>
      <c r="B226" s="5">
        <v>1015405068.9999999</v>
      </c>
      <c r="C226" s="36" t="s">
        <v>1810</v>
      </c>
      <c r="D226" s="36" t="s">
        <v>3456</v>
      </c>
      <c r="E226" s="39">
        <v>30</v>
      </c>
      <c r="F226" s="37">
        <v>0</v>
      </c>
      <c r="G226" s="37">
        <v>0</v>
      </c>
      <c r="H226" s="38">
        <v>8846008</v>
      </c>
      <c r="I226" s="39">
        <v>8846008</v>
      </c>
      <c r="J226" s="38">
        <v>788900</v>
      </c>
      <c r="K226" s="39">
        <v>9634908</v>
      </c>
      <c r="L226" s="39">
        <v>3853963</v>
      </c>
      <c r="M226" s="39"/>
      <c r="N226" s="39"/>
      <c r="O226" s="39"/>
      <c r="P226" s="38">
        <v>8846008</v>
      </c>
      <c r="Q226" s="39">
        <v>0</v>
      </c>
      <c r="R226" s="39">
        <v>0</v>
      </c>
      <c r="S226" s="40"/>
      <c r="T226" s="38">
        <v>0</v>
      </c>
      <c r="U226" s="40"/>
      <c r="V226" s="40">
        <v>353840</v>
      </c>
      <c r="W226" s="42"/>
      <c r="X226" s="40"/>
      <c r="Y226" s="40">
        <v>353840</v>
      </c>
      <c r="Z226" s="42"/>
      <c r="AA226" s="40"/>
      <c r="AB226" s="40"/>
      <c r="AC226" s="40">
        <v>88600</v>
      </c>
      <c r="AD226" s="42"/>
      <c r="AF226">
        <f>VLOOKUP(A226,Devengos!$A$4:$I$389,9,0)</f>
        <v>8846008</v>
      </c>
      <c r="AG226">
        <f t="shared" si="177"/>
        <v>8846008</v>
      </c>
      <c r="AH226">
        <f>IFERROR(VLOOKUP(B226,'Planilla Mes anterior'!$CX:$CY,2,0),0)</f>
        <v>8846008</v>
      </c>
      <c r="AJ226" s="95">
        <v>0</v>
      </c>
    </row>
    <row r="227" spans="1:36" x14ac:dyDescent="0.3">
      <c r="A227" s="81">
        <v>90715406</v>
      </c>
      <c r="B227" s="5">
        <v>1014190416.9999999</v>
      </c>
      <c r="C227" s="36" t="s">
        <v>1814</v>
      </c>
      <c r="D227" s="36" t="s">
        <v>3456</v>
      </c>
      <c r="E227" s="39">
        <v>30</v>
      </c>
      <c r="F227" s="37">
        <v>1</v>
      </c>
      <c r="G227" s="37">
        <v>0</v>
      </c>
      <c r="H227" s="38">
        <v>13659816</v>
      </c>
      <c r="I227" s="39">
        <v>13659816</v>
      </c>
      <c r="J227" s="38">
        <v>841700</v>
      </c>
      <c r="K227" s="39">
        <v>14501516</v>
      </c>
      <c r="L227" s="39">
        <v>5800606</v>
      </c>
      <c r="M227" s="39"/>
      <c r="N227" s="39"/>
      <c r="O227" s="39"/>
      <c r="P227" s="38">
        <v>14130844</v>
      </c>
      <c r="Q227" s="39">
        <v>471028</v>
      </c>
      <c r="R227" s="39">
        <v>0</v>
      </c>
      <c r="S227" s="40"/>
      <c r="T227" s="38">
        <v>0</v>
      </c>
      <c r="U227" s="40"/>
      <c r="V227" s="40">
        <v>565234</v>
      </c>
      <c r="W227" s="42"/>
      <c r="X227" s="40"/>
      <c r="Y227" s="40">
        <v>565234</v>
      </c>
      <c r="Z227" s="42"/>
      <c r="AA227" s="40"/>
      <c r="AB227" s="40"/>
      <c r="AC227" s="40">
        <v>141400</v>
      </c>
      <c r="AD227" s="42"/>
      <c r="AF227">
        <f>VLOOKUP(A227,Devengos!$A$4:$I$389,9,0)</f>
        <v>14130844</v>
      </c>
      <c r="AG227">
        <f t="shared" si="177"/>
        <v>14130844</v>
      </c>
      <c r="AH227">
        <f>IFERROR(VLOOKUP(B227,'Planilla Mes anterior'!$CX:$CY,2,0),0)</f>
        <v>14130844</v>
      </c>
      <c r="AJ227" s="95">
        <v>0</v>
      </c>
    </row>
    <row r="228" spans="1:36" x14ac:dyDescent="0.3">
      <c r="A228" s="81">
        <v>90715413</v>
      </c>
      <c r="B228" s="5">
        <v>71727442</v>
      </c>
      <c r="C228" s="36" t="s">
        <v>1819</v>
      </c>
      <c r="D228" s="36" t="s">
        <v>3344</v>
      </c>
      <c r="E228" s="39">
        <v>30</v>
      </c>
      <c r="F228" s="37">
        <v>0</v>
      </c>
      <c r="G228" s="37">
        <v>0</v>
      </c>
      <c r="H228" s="38">
        <v>27030000</v>
      </c>
      <c r="I228" s="39">
        <v>18921000</v>
      </c>
      <c r="J228" s="38">
        <v>889700</v>
      </c>
      <c r="K228" s="39">
        <v>27919700</v>
      </c>
      <c r="L228" s="39">
        <v>11167880</v>
      </c>
      <c r="M228" s="39"/>
      <c r="N228" s="39"/>
      <c r="O228" s="39"/>
      <c r="P228" s="38">
        <v>18921000</v>
      </c>
      <c r="Q228" s="39">
        <v>0</v>
      </c>
      <c r="R228" s="39">
        <v>0</v>
      </c>
      <c r="S228" s="40"/>
      <c r="T228" s="38"/>
      <c r="U228" s="40"/>
      <c r="V228" s="40">
        <v>756840</v>
      </c>
      <c r="W228" s="42"/>
      <c r="X228" s="40"/>
      <c r="Y228" s="40">
        <v>756840</v>
      </c>
      <c r="Z228" s="42"/>
      <c r="AA228" s="40"/>
      <c r="AB228" s="40"/>
      <c r="AC228" s="40">
        <v>189400</v>
      </c>
      <c r="AD228" s="42"/>
      <c r="AF228">
        <f>VLOOKUP(A228,Devengos!$A$4:$I$389,9,0)</f>
        <v>27030000.02</v>
      </c>
      <c r="AG228">
        <f t="shared" si="177"/>
        <v>18921000</v>
      </c>
      <c r="AH228">
        <f>IFERROR(VLOOKUP(B228,'Planilla Mes anterior'!$CX:$CY,2,0),0)</f>
        <v>18921000</v>
      </c>
      <c r="AJ228" s="95">
        <v>0</v>
      </c>
    </row>
    <row r="229" spans="1:36" x14ac:dyDescent="0.3">
      <c r="A229" s="81">
        <v>90715426</v>
      </c>
      <c r="B229" s="5">
        <v>1061539391.0000001</v>
      </c>
      <c r="C229" s="36" t="s">
        <v>1824</v>
      </c>
      <c r="D229" s="36" t="s">
        <v>3456</v>
      </c>
      <c r="E229" s="39">
        <v>49</v>
      </c>
      <c r="F229" s="37">
        <v>11</v>
      </c>
      <c r="G229" s="37">
        <v>0</v>
      </c>
      <c r="H229" s="38">
        <v>4242699</v>
      </c>
      <c r="I229" s="39">
        <v>4242699</v>
      </c>
      <c r="J229" s="38">
        <v>826498</v>
      </c>
      <c r="K229" s="39">
        <v>5069197</v>
      </c>
      <c r="L229" s="39">
        <v>2027679</v>
      </c>
      <c r="M229" s="39"/>
      <c r="N229" s="39"/>
      <c r="O229" s="39"/>
      <c r="P229" s="38">
        <v>5818998</v>
      </c>
      <c r="Q229" s="39">
        <v>2133633</v>
      </c>
      <c r="R229" s="39">
        <v>0</v>
      </c>
      <c r="S229" s="40"/>
      <c r="T229" s="38">
        <v>0</v>
      </c>
      <c r="U229" s="40"/>
      <c r="V229" s="40">
        <v>255053</v>
      </c>
      <c r="W229" s="42"/>
      <c r="X229" s="40"/>
      <c r="Y229" s="40">
        <v>255053</v>
      </c>
      <c r="Z229" s="42"/>
      <c r="AA229" s="40"/>
      <c r="AB229" s="40"/>
      <c r="AC229" s="40">
        <v>0</v>
      </c>
      <c r="AD229" s="42"/>
      <c r="AF229">
        <f>VLOOKUP(A229,Devengos!$A$4:$I$389,9,0)</f>
        <v>4298998</v>
      </c>
      <c r="AG229">
        <f t="shared" si="177"/>
        <v>4298998</v>
      </c>
      <c r="AH229">
        <f>IFERROR(VLOOKUP(B229,'Planilla Mes anterior'!$CX:$CY,2,0),0)</f>
        <v>5818998</v>
      </c>
      <c r="AJ229" s="95">
        <v>0</v>
      </c>
    </row>
    <row r="230" spans="1:36" x14ac:dyDescent="0.3">
      <c r="A230" s="81">
        <v>90715705</v>
      </c>
      <c r="B230" s="5">
        <v>1140877104</v>
      </c>
      <c r="C230" s="36" t="s">
        <v>1829</v>
      </c>
      <c r="D230" s="36" t="s">
        <v>3456</v>
      </c>
      <c r="E230" s="39">
        <v>31</v>
      </c>
      <c r="F230" s="37">
        <v>0</v>
      </c>
      <c r="G230" s="37">
        <v>0</v>
      </c>
      <c r="H230" s="38">
        <v>10252530</v>
      </c>
      <c r="I230" s="39">
        <v>10252530</v>
      </c>
      <c r="J230" s="38">
        <v>802900</v>
      </c>
      <c r="K230" s="39">
        <v>11055430</v>
      </c>
      <c r="L230" s="39">
        <v>4422172</v>
      </c>
      <c r="M230" s="39"/>
      <c r="N230" s="39"/>
      <c r="O230" s="39"/>
      <c r="P230" s="38">
        <v>6119803</v>
      </c>
      <c r="Q230" s="39">
        <v>0</v>
      </c>
      <c r="R230" s="39">
        <v>0</v>
      </c>
      <c r="S230" s="40"/>
      <c r="T230" s="38">
        <v>0</v>
      </c>
      <c r="U230" s="40"/>
      <c r="V230" s="40">
        <v>410101</v>
      </c>
      <c r="W230" s="42"/>
      <c r="X230" s="40"/>
      <c r="Y230" s="40">
        <v>410101</v>
      </c>
      <c r="Z230" s="42"/>
      <c r="AA230" s="40"/>
      <c r="AB230" s="40"/>
      <c r="AC230" s="40">
        <v>102600</v>
      </c>
      <c r="AD230" s="42"/>
      <c r="AF230">
        <f>VLOOKUP(A230,Devengos!$A$4:$I$389,9,0)</f>
        <v>6107143.2549999999</v>
      </c>
      <c r="AG230">
        <f t="shared" si="177"/>
        <v>6107143.2549999999</v>
      </c>
      <c r="AH230">
        <f>IFERROR(VLOOKUP(B230,'Planilla Mes anterior'!$CX:$CY,2,0),0)</f>
        <v>6119803</v>
      </c>
      <c r="AJ230" s="95">
        <v>0</v>
      </c>
    </row>
    <row r="231" spans="1:36" x14ac:dyDescent="0.3">
      <c r="A231" s="81">
        <v>90715889</v>
      </c>
      <c r="B231" s="5">
        <v>1020429947.0000001</v>
      </c>
      <c r="C231" s="36" t="s">
        <v>1834</v>
      </c>
      <c r="D231" s="36" t="s">
        <v>3344</v>
      </c>
      <c r="E231" s="39">
        <v>30</v>
      </c>
      <c r="F231" s="37">
        <v>4</v>
      </c>
      <c r="G231" s="37">
        <v>0</v>
      </c>
      <c r="H231" s="38">
        <v>19726863</v>
      </c>
      <c r="I231" s="39">
        <v>13808804</v>
      </c>
      <c r="J231" s="38">
        <v>859900</v>
      </c>
      <c r="K231" s="39">
        <v>20586763</v>
      </c>
      <c r="L231" s="39">
        <v>8234705</v>
      </c>
      <c r="M231" s="39"/>
      <c r="N231" s="39"/>
      <c r="O231" s="39"/>
      <c r="P231" s="38">
        <v>15933236</v>
      </c>
      <c r="Q231" s="39">
        <v>2124431</v>
      </c>
      <c r="R231" s="39">
        <v>0</v>
      </c>
      <c r="S231" s="40"/>
      <c r="T231" s="38"/>
      <c r="U231" s="40"/>
      <c r="V231" s="40">
        <v>637329</v>
      </c>
      <c r="W231" s="42"/>
      <c r="X231" s="40"/>
      <c r="Y231" s="40">
        <v>637329</v>
      </c>
      <c r="Z231" s="42"/>
      <c r="AA231" s="40"/>
      <c r="AB231" s="40"/>
      <c r="AC231" s="40">
        <v>159600</v>
      </c>
      <c r="AD231" s="42"/>
      <c r="AF231">
        <f>VLOOKUP(A231,Devengos!$A$4:$I$389,9,0)</f>
        <v>22761765</v>
      </c>
      <c r="AG231">
        <f t="shared" si="177"/>
        <v>15933236</v>
      </c>
      <c r="AH231">
        <f>IFERROR(VLOOKUP(B231,'Planilla Mes anterior'!$CX:$CY,2,0),0)</f>
        <v>15933236</v>
      </c>
      <c r="AJ231" s="95">
        <v>0</v>
      </c>
    </row>
    <row r="232" spans="1:36" x14ac:dyDescent="0.3">
      <c r="A232" s="81">
        <v>90715933</v>
      </c>
      <c r="B232" s="5">
        <v>1053807108.9999999</v>
      </c>
      <c r="C232" s="36" t="s">
        <v>1838</v>
      </c>
      <c r="D232" s="36" t="s">
        <v>3456</v>
      </c>
      <c r="E232" s="39">
        <v>30</v>
      </c>
      <c r="F232" s="37">
        <v>0</v>
      </c>
      <c r="G232" s="37">
        <v>0</v>
      </c>
      <c r="H232" s="38">
        <v>6990379</v>
      </c>
      <c r="I232" s="39">
        <v>6990379</v>
      </c>
      <c r="J232" s="38">
        <v>700300</v>
      </c>
      <c r="K232" s="39">
        <v>7690679</v>
      </c>
      <c r="L232" s="39">
        <v>3076272</v>
      </c>
      <c r="M232" s="39"/>
      <c r="N232" s="39"/>
      <c r="O232" s="39"/>
      <c r="P232" s="38">
        <v>7815392</v>
      </c>
      <c r="Q232" s="39">
        <v>0</v>
      </c>
      <c r="R232" s="39">
        <v>0</v>
      </c>
      <c r="S232" s="40"/>
      <c r="T232" s="38">
        <v>0</v>
      </c>
      <c r="U232" s="40"/>
      <c r="V232" s="40">
        <v>279615</v>
      </c>
      <c r="W232" s="42"/>
      <c r="X232" s="40"/>
      <c r="Y232" s="40">
        <v>279615</v>
      </c>
      <c r="Z232" s="42"/>
      <c r="AA232" s="40"/>
      <c r="AB232" s="40"/>
      <c r="AC232" s="40">
        <v>0</v>
      </c>
      <c r="AD232" s="42"/>
      <c r="AF232">
        <f>VLOOKUP(A232,Devengos!$A$4:$I$389,9,0)</f>
        <v>7461037</v>
      </c>
      <c r="AG232">
        <f t="shared" si="177"/>
        <v>7461037</v>
      </c>
      <c r="AH232">
        <f>IFERROR(VLOOKUP(B232,'Planilla Mes anterior'!$CX:$CY,2,0),0)</f>
        <v>7815392</v>
      </c>
      <c r="AJ232" s="95">
        <v>0</v>
      </c>
    </row>
    <row r="233" spans="1:36" x14ac:dyDescent="0.3">
      <c r="A233" s="81">
        <v>90715934</v>
      </c>
      <c r="B233" s="5">
        <v>1001204766</v>
      </c>
      <c r="C233" s="36" t="s">
        <v>1842</v>
      </c>
      <c r="D233" s="36" t="s">
        <v>3456</v>
      </c>
      <c r="E233" s="39">
        <v>49</v>
      </c>
      <c r="F233" s="37">
        <v>0</v>
      </c>
      <c r="G233" s="37">
        <v>0</v>
      </c>
      <c r="H233" s="38">
        <v>5818998</v>
      </c>
      <c r="I233" s="39">
        <v>5818998</v>
      </c>
      <c r="J233" s="38">
        <v>930349</v>
      </c>
      <c r="K233" s="39">
        <v>6749347</v>
      </c>
      <c r="L233" s="39">
        <v>2699739</v>
      </c>
      <c r="M233" s="39"/>
      <c r="N233" s="39"/>
      <c r="O233" s="39"/>
      <c r="P233" s="38">
        <v>5098998</v>
      </c>
      <c r="Q233" s="39">
        <v>0</v>
      </c>
      <c r="R233" s="39">
        <v>0</v>
      </c>
      <c r="S233" s="40"/>
      <c r="T233" s="38">
        <v>0</v>
      </c>
      <c r="U233" s="40"/>
      <c r="V233" s="40">
        <v>232760</v>
      </c>
      <c r="W233" s="42"/>
      <c r="X233" s="40"/>
      <c r="Y233" s="40">
        <v>232760</v>
      </c>
      <c r="Z233" s="42"/>
      <c r="AA233" s="40"/>
      <c r="AB233" s="40"/>
      <c r="AC233" s="40">
        <v>0</v>
      </c>
      <c r="AD233" s="42"/>
      <c r="AF233">
        <f>VLOOKUP(A233,Devengos!$A$4:$I$389,9,0)</f>
        <v>4298998</v>
      </c>
      <c r="AG233">
        <f t="shared" si="177"/>
        <v>4298998</v>
      </c>
      <c r="AH233">
        <f>IFERROR(VLOOKUP(B233,'Planilla Mes anterior'!$CX:$CY,2,0),0)</f>
        <v>5098998</v>
      </c>
      <c r="AJ233" s="95">
        <v>0</v>
      </c>
    </row>
    <row r="234" spans="1:36" x14ac:dyDescent="0.3">
      <c r="A234" s="81">
        <v>90715935</v>
      </c>
      <c r="B234" s="5">
        <v>1098679482</v>
      </c>
      <c r="C234" s="36" t="s">
        <v>1846</v>
      </c>
      <c r="D234" s="36" t="s">
        <v>3456</v>
      </c>
      <c r="E234" s="39">
        <v>38</v>
      </c>
      <c r="F234" s="37">
        <v>0</v>
      </c>
      <c r="G234" s="37">
        <v>0</v>
      </c>
      <c r="H234" s="38">
        <v>8268333</v>
      </c>
      <c r="I234" s="39">
        <v>8268333</v>
      </c>
      <c r="J234" s="38">
        <v>783100</v>
      </c>
      <c r="K234" s="39">
        <v>9051433</v>
      </c>
      <c r="L234" s="39">
        <v>3620573</v>
      </c>
      <c r="M234" s="39"/>
      <c r="N234" s="39"/>
      <c r="O234" s="39"/>
      <c r="P234" s="38">
        <v>8382017</v>
      </c>
      <c r="Q234" s="39">
        <v>0</v>
      </c>
      <c r="R234" s="39">
        <v>0</v>
      </c>
      <c r="S234" s="40"/>
      <c r="T234" s="38">
        <v>0</v>
      </c>
      <c r="U234" s="40"/>
      <c r="V234" s="40">
        <v>330733</v>
      </c>
      <c r="W234" s="42"/>
      <c r="X234" s="40"/>
      <c r="Y234" s="40">
        <v>330733</v>
      </c>
      <c r="Z234" s="42"/>
      <c r="AA234" s="40"/>
      <c r="AB234" s="40"/>
      <c r="AC234" s="40">
        <v>82800</v>
      </c>
      <c r="AD234" s="42"/>
      <c r="AF234">
        <f>VLOOKUP(A234,Devengos!$A$4:$I$389,9,0)</f>
        <v>7686276</v>
      </c>
      <c r="AG234">
        <f t="shared" si="177"/>
        <v>7686276</v>
      </c>
      <c r="AH234">
        <f>IFERROR(VLOOKUP(B234,'Planilla Mes anterior'!$CX:$CY,2,0),0)</f>
        <v>8382017</v>
      </c>
      <c r="AJ234" s="95">
        <v>0</v>
      </c>
    </row>
    <row r="235" spans="1:36" x14ac:dyDescent="0.3">
      <c r="A235" s="81">
        <v>90715944</v>
      </c>
      <c r="B235" s="5">
        <v>1094532056</v>
      </c>
      <c r="C235" s="36" t="s">
        <v>1851</v>
      </c>
      <c r="D235" s="36" t="s">
        <v>3456</v>
      </c>
      <c r="E235" s="39">
        <v>30</v>
      </c>
      <c r="F235" s="37">
        <v>12</v>
      </c>
      <c r="G235" s="37">
        <v>0</v>
      </c>
      <c r="H235" s="38">
        <v>4625523</v>
      </c>
      <c r="I235" s="39">
        <v>4625523</v>
      </c>
      <c r="J235" s="38">
        <v>784700</v>
      </c>
      <c r="K235" s="39">
        <v>5410223</v>
      </c>
      <c r="L235" s="39">
        <v>2164089</v>
      </c>
      <c r="M235" s="39"/>
      <c r="N235" s="39"/>
      <c r="O235" s="39"/>
      <c r="P235" s="38">
        <v>9490972</v>
      </c>
      <c r="Q235" s="39">
        <v>3796389</v>
      </c>
      <c r="R235" s="39">
        <v>0</v>
      </c>
      <c r="S235" s="40"/>
      <c r="T235" s="38">
        <v>0</v>
      </c>
      <c r="U235" s="40"/>
      <c r="V235" s="40">
        <v>336877</v>
      </c>
      <c r="W235" s="42"/>
      <c r="X235" s="40"/>
      <c r="Y235" s="40">
        <v>336877</v>
      </c>
      <c r="Z235" s="42"/>
      <c r="AA235" s="40"/>
      <c r="AB235" s="40"/>
      <c r="AC235" s="40">
        <v>84400</v>
      </c>
      <c r="AD235" s="42"/>
      <c r="AF235">
        <f>VLOOKUP(A235,Devengos!$A$4:$I$389,9,0)</f>
        <v>7709204</v>
      </c>
      <c r="AG235">
        <f t="shared" si="177"/>
        <v>7709204</v>
      </c>
      <c r="AH235">
        <f>IFERROR(VLOOKUP(B235,'Planilla Mes anterior'!$CX:$CY,2,0),0)</f>
        <v>9490972</v>
      </c>
      <c r="AJ235" s="95">
        <v>0</v>
      </c>
    </row>
    <row r="236" spans="1:36" x14ac:dyDescent="0.3">
      <c r="A236" s="81">
        <v>90715959</v>
      </c>
      <c r="B236" s="5">
        <v>1031123702</v>
      </c>
      <c r="C236" s="36" t="s">
        <v>1855</v>
      </c>
      <c r="D236" s="36" t="s">
        <v>3456</v>
      </c>
      <c r="E236" s="39">
        <v>30</v>
      </c>
      <c r="F236" s="37">
        <v>1</v>
      </c>
      <c r="G236" s="37">
        <v>0</v>
      </c>
      <c r="H236" s="38">
        <v>7304273</v>
      </c>
      <c r="I236" s="39">
        <v>7304273</v>
      </c>
      <c r="J236" s="38">
        <v>776100</v>
      </c>
      <c r="K236" s="39">
        <v>8080373</v>
      </c>
      <c r="L236" s="39">
        <v>3232149</v>
      </c>
      <c r="M236" s="39"/>
      <c r="N236" s="39"/>
      <c r="O236" s="39"/>
      <c r="P236" s="38">
        <v>7556144</v>
      </c>
      <c r="Q236" s="39">
        <v>251871</v>
      </c>
      <c r="R236" s="39">
        <v>0</v>
      </c>
      <c r="S236" s="40"/>
      <c r="T236" s="38">
        <v>0</v>
      </c>
      <c r="U236" s="40"/>
      <c r="V236" s="40">
        <v>302246</v>
      </c>
      <c r="W236" s="42"/>
      <c r="X236" s="40"/>
      <c r="Y236" s="40">
        <v>302246</v>
      </c>
      <c r="Z236" s="42"/>
      <c r="AA236" s="40"/>
      <c r="AB236" s="40"/>
      <c r="AC236" s="40">
        <v>75800</v>
      </c>
      <c r="AD236" s="42"/>
      <c r="AF236">
        <f>VLOOKUP(A236,Devengos!$A$4:$I$389,9,0)</f>
        <v>7556144</v>
      </c>
      <c r="AG236">
        <f t="shared" si="177"/>
        <v>7556144</v>
      </c>
      <c r="AH236">
        <f>IFERROR(VLOOKUP(B236,'Planilla Mes anterior'!$CX:$CY,2,0),0)</f>
        <v>7556144</v>
      </c>
      <c r="AJ236" s="95">
        <v>0</v>
      </c>
    </row>
    <row r="237" spans="1:36" x14ac:dyDescent="0.3">
      <c r="A237" s="81">
        <v>90715973</v>
      </c>
      <c r="B237" s="5">
        <v>369982</v>
      </c>
      <c r="C237" s="36" t="s">
        <v>1858</v>
      </c>
      <c r="D237" s="36" t="s">
        <v>3456</v>
      </c>
      <c r="E237" s="39">
        <v>30</v>
      </c>
      <c r="F237" s="37">
        <v>0</v>
      </c>
      <c r="G237" s="37">
        <v>0</v>
      </c>
      <c r="H237" s="38">
        <v>12475620</v>
      </c>
      <c r="I237" s="39">
        <v>12475620</v>
      </c>
      <c r="J237" s="38">
        <v>825100</v>
      </c>
      <c r="K237" s="39">
        <v>13300720</v>
      </c>
      <c r="L237" s="39">
        <v>5320288</v>
      </c>
      <c r="M237" s="39"/>
      <c r="N237" s="39"/>
      <c r="O237" s="39"/>
      <c r="P237" s="38">
        <v>12475620</v>
      </c>
      <c r="Q237" s="39">
        <v>0</v>
      </c>
      <c r="R237" s="39">
        <v>0</v>
      </c>
      <c r="S237" s="40"/>
      <c r="T237" s="38">
        <v>0</v>
      </c>
      <c r="U237" s="40"/>
      <c r="V237" s="40">
        <v>499025</v>
      </c>
      <c r="W237" s="42"/>
      <c r="X237" s="40"/>
      <c r="Y237" s="40">
        <v>499025</v>
      </c>
      <c r="Z237" s="42"/>
      <c r="AA237" s="40"/>
      <c r="AB237" s="40"/>
      <c r="AC237" s="40">
        <v>124800</v>
      </c>
      <c r="AD237" s="42"/>
      <c r="AF237">
        <f>VLOOKUP(A237,Devengos!$A$4:$I$389,9,0)</f>
        <v>12475620</v>
      </c>
      <c r="AG237">
        <f t="shared" si="177"/>
        <v>12475620</v>
      </c>
      <c r="AH237">
        <f>IFERROR(VLOOKUP(B237,'Planilla Mes anterior'!$CX:$CY,2,0),0)</f>
        <v>12475620</v>
      </c>
      <c r="AJ237" s="95">
        <v>0</v>
      </c>
    </row>
    <row r="238" spans="1:36" x14ac:dyDescent="0.3">
      <c r="A238" s="81">
        <v>90715974</v>
      </c>
      <c r="B238" s="5">
        <v>79188847</v>
      </c>
      <c r="C238" s="36" t="s">
        <v>1863</v>
      </c>
      <c r="D238" s="36" t="s">
        <v>3456</v>
      </c>
      <c r="E238" s="39">
        <v>30</v>
      </c>
      <c r="F238" s="37">
        <v>0</v>
      </c>
      <c r="G238" s="37">
        <v>0</v>
      </c>
      <c r="H238" s="38">
        <v>8191133</v>
      </c>
      <c r="I238" s="39">
        <v>8191133</v>
      </c>
      <c r="J238" s="38">
        <v>782300</v>
      </c>
      <c r="K238" s="39">
        <v>8973433</v>
      </c>
      <c r="L238" s="39">
        <v>3589373</v>
      </c>
      <c r="M238" s="39"/>
      <c r="N238" s="39"/>
      <c r="O238" s="39"/>
      <c r="P238" s="38">
        <v>9893585</v>
      </c>
      <c r="Q238" s="39">
        <v>0</v>
      </c>
      <c r="R238" s="39">
        <v>0</v>
      </c>
      <c r="S238" s="40"/>
      <c r="T238" s="38">
        <v>0</v>
      </c>
      <c r="U238" s="40"/>
      <c r="V238" s="40">
        <v>327645</v>
      </c>
      <c r="W238" s="42"/>
      <c r="X238" s="40"/>
      <c r="Y238" s="40">
        <v>327645</v>
      </c>
      <c r="Z238" s="42"/>
      <c r="AA238" s="40"/>
      <c r="AB238" s="40"/>
      <c r="AC238" s="40">
        <v>82000</v>
      </c>
      <c r="AD238" s="42"/>
      <c r="AF238">
        <f>VLOOKUP(A238,Devengos!$A$4:$I$389,9,0)</f>
        <v>8191133</v>
      </c>
      <c r="AG238">
        <f t="shared" si="177"/>
        <v>8191133</v>
      </c>
      <c r="AH238">
        <f>IFERROR(VLOOKUP(B238,'Planilla Mes anterior'!$CX:$CY,2,0),0)</f>
        <v>9893585</v>
      </c>
      <c r="AJ238" s="95">
        <v>0</v>
      </c>
    </row>
    <row r="239" spans="1:36" x14ac:dyDescent="0.3">
      <c r="A239" s="81">
        <v>90716432</v>
      </c>
      <c r="B239" s="5">
        <v>1016106262</v>
      </c>
      <c r="C239" s="36" t="s">
        <v>1868</v>
      </c>
      <c r="D239" s="36" t="s">
        <v>3456</v>
      </c>
      <c r="E239" s="39">
        <v>30</v>
      </c>
      <c r="F239" s="37">
        <v>0</v>
      </c>
      <c r="G239" s="37">
        <v>0</v>
      </c>
      <c r="H239" s="38">
        <v>4010682</v>
      </c>
      <c r="I239" s="39">
        <v>4010682</v>
      </c>
      <c r="J239" s="38">
        <v>700300</v>
      </c>
      <c r="K239" s="39">
        <v>4710982</v>
      </c>
      <c r="L239" s="39">
        <v>1884393</v>
      </c>
      <c r="M239" s="39"/>
      <c r="N239" s="39"/>
      <c r="O239" s="39"/>
      <c r="P239" s="38">
        <v>5583051</v>
      </c>
      <c r="Q239" s="39">
        <v>0</v>
      </c>
      <c r="R239" s="39">
        <v>0</v>
      </c>
      <c r="S239" s="40"/>
      <c r="T239" s="38">
        <v>0</v>
      </c>
      <c r="U239" s="40"/>
      <c r="V239" s="40">
        <v>160427</v>
      </c>
      <c r="W239" s="42"/>
      <c r="X239" s="40"/>
      <c r="Y239" s="40">
        <v>160427</v>
      </c>
      <c r="Z239" s="42"/>
      <c r="AA239" s="40"/>
      <c r="AB239" s="40"/>
      <c r="AC239" s="40">
        <v>0</v>
      </c>
      <c r="AD239" s="42"/>
      <c r="AF239">
        <f>VLOOKUP(A239,Devengos!$A$4:$I$389,9,0)</f>
        <v>4010682</v>
      </c>
      <c r="AG239">
        <f t="shared" si="177"/>
        <v>4010682</v>
      </c>
      <c r="AH239">
        <f>IFERROR(VLOOKUP(B239,'Planilla Mes anterior'!$CX:$CY,2,0),0)</f>
        <v>5583051</v>
      </c>
      <c r="AJ239" s="95">
        <v>0</v>
      </c>
    </row>
    <row r="240" spans="1:36" x14ac:dyDescent="0.3">
      <c r="A240" s="81">
        <v>90717164</v>
      </c>
      <c r="B240" s="5">
        <v>1018465548.9999999</v>
      </c>
      <c r="C240" s="36" t="s">
        <v>1872</v>
      </c>
      <c r="D240" s="36" t="s">
        <v>3456</v>
      </c>
      <c r="E240" s="39">
        <v>30</v>
      </c>
      <c r="F240" s="37">
        <v>0</v>
      </c>
      <c r="G240" s="37">
        <v>0</v>
      </c>
      <c r="H240" s="38">
        <v>4331927</v>
      </c>
      <c r="I240" s="39">
        <v>4331927</v>
      </c>
      <c r="J240" s="38">
        <v>700300</v>
      </c>
      <c r="K240" s="39">
        <v>5032227</v>
      </c>
      <c r="L240" s="39">
        <v>2012891</v>
      </c>
      <c r="M240" s="39"/>
      <c r="N240" s="39"/>
      <c r="O240" s="39"/>
      <c r="P240" s="38">
        <v>5347989</v>
      </c>
      <c r="Q240" s="39">
        <v>0</v>
      </c>
      <c r="R240" s="39">
        <v>0</v>
      </c>
      <c r="S240" s="40"/>
      <c r="T240" s="38">
        <v>0</v>
      </c>
      <c r="U240" s="40"/>
      <c r="V240" s="40">
        <v>173277</v>
      </c>
      <c r="W240" s="42"/>
      <c r="X240" s="40"/>
      <c r="Y240" s="40">
        <v>173277</v>
      </c>
      <c r="Z240" s="42"/>
      <c r="AA240" s="40"/>
      <c r="AB240" s="40"/>
      <c r="AC240" s="40">
        <v>0</v>
      </c>
      <c r="AD240" s="42"/>
      <c r="AF240">
        <f>VLOOKUP(A240,Devengos!$A$4:$I$389,9,0)</f>
        <v>4331927</v>
      </c>
      <c r="AG240">
        <f t="shared" si="177"/>
        <v>4331927</v>
      </c>
      <c r="AH240">
        <f>IFERROR(VLOOKUP(B240,'Planilla Mes anterior'!$CX:$CY,2,0),0)</f>
        <v>5347989</v>
      </c>
      <c r="AJ240" s="95">
        <v>0</v>
      </c>
    </row>
    <row r="241" spans="1:36" x14ac:dyDescent="0.3">
      <c r="A241" s="81">
        <v>90717172</v>
      </c>
      <c r="B241" s="5">
        <v>1013686547.0000001</v>
      </c>
      <c r="C241" s="36" t="s">
        <v>1876</v>
      </c>
      <c r="D241" s="36" t="s">
        <v>3456</v>
      </c>
      <c r="E241" s="39">
        <v>30</v>
      </c>
      <c r="F241" s="37">
        <v>0</v>
      </c>
      <c r="G241" s="37">
        <v>0</v>
      </c>
      <c r="H241" s="38">
        <v>7958816</v>
      </c>
      <c r="I241" s="39">
        <v>7958816</v>
      </c>
      <c r="J241" s="38">
        <v>1382988</v>
      </c>
      <c r="K241" s="39">
        <v>9341804</v>
      </c>
      <c r="L241" s="39">
        <v>3736722</v>
      </c>
      <c r="M241" s="39"/>
      <c r="N241" s="39"/>
      <c r="O241" s="39"/>
      <c r="P241" s="38">
        <v>7958816</v>
      </c>
      <c r="Q241" s="39">
        <v>0</v>
      </c>
      <c r="R241" s="39">
        <v>0</v>
      </c>
      <c r="S241" s="40"/>
      <c r="T241" s="38">
        <v>0</v>
      </c>
      <c r="U241" s="40"/>
      <c r="V241" s="40">
        <v>318353</v>
      </c>
      <c r="W241" s="42"/>
      <c r="X241" s="40"/>
      <c r="Y241" s="40">
        <v>318353</v>
      </c>
      <c r="Z241" s="42"/>
      <c r="AA241" s="40"/>
      <c r="AB241" s="40"/>
      <c r="AC241" s="40">
        <v>79600</v>
      </c>
      <c r="AD241" s="42"/>
      <c r="AF241">
        <f>VLOOKUP(A241,Devengos!$A$4:$I$389,9,0)</f>
        <v>7958816</v>
      </c>
      <c r="AG241">
        <f t="shared" si="177"/>
        <v>7958816</v>
      </c>
      <c r="AH241">
        <f>IFERROR(VLOOKUP(B241,'Planilla Mes anterior'!$CX:$CY,2,0),0)</f>
        <v>7958816</v>
      </c>
      <c r="AJ241" s="95">
        <v>0</v>
      </c>
    </row>
    <row r="242" spans="1:36" x14ac:dyDescent="0.3">
      <c r="A242" s="81">
        <v>90717219</v>
      </c>
      <c r="B242" s="5">
        <v>91280671</v>
      </c>
      <c r="C242" s="36" t="s">
        <v>1881</v>
      </c>
      <c r="D242" s="36" t="s">
        <v>3456</v>
      </c>
      <c r="E242" s="39">
        <v>30</v>
      </c>
      <c r="F242" s="37">
        <v>0</v>
      </c>
      <c r="G242" s="37">
        <v>0</v>
      </c>
      <c r="H242" s="38">
        <v>10213088</v>
      </c>
      <c r="I242" s="39">
        <v>10213088</v>
      </c>
      <c r="J242" s="38">
        <v>802500</v>
      </c>
      <c r="K242" s="39">
        <v>11015588</v>
      </c>
      <c r="L242" s="39">
        <v>4406235</v>
      </c>
      <c r="M242" s="39"/>
      <c r="N242" s="39"/>
      <c r="O242" s="39"/>
      <c r="P242" s="38">
        <v>10213088</v>
      </c>
      <c r="Q242" s="39">
        <v>0</v>
      </c>
      <c r="R242" s="39">
        <v>0</v>
      </c>
      <c r="S242" s="40"/>
      <c r="T242" s="38">
        <v>0</v>
      </c>
      <c r="U242" s="40"/>
      <c r="V242" s="40">
        <v>408524</v>
      </c>
      <c r="W242" s="42"/>
      <c r="X242" s="40"/>
      <c r="Y242" s="40">
        <v>408524</v>
      </c>
      <c r="Z242" s="42"/>
      <c r="AA242" s="40"/>
      <c r="AB242" s="40"/>
      <c r="AC242" s="40">
        <v>102200</v>
      </c>
      <c r="AD242" s="42"/>
      <c r="AF242">
        <f>VLOOKUP(A242,Devengos!$A$4:$I$389,9,0)</f>
        <v>10992713</v>
      </c>
      <c r="AG242">
        <f t="shared" si="177"/>
        <v>10992713</v>
      </c>
      <c r="AH242">
        <f>IFERROR(VLOOKUP(B242,'Planilla Mes anterior'!$CX:$CY,2,0),0)</f>
        <v>10213088</v>
      </c>
      <c r="AJ242" s="95">
        <v>0</v>
      </c>
    </row>
    <row r="243" spans="1:36" x14ac:dyDescent="0.3">
      <c r="A243" s="81">
        <v>90717241</v>
      </c>
      <c r="B243" s="5">
        <v>79974614</v>
      </c>
      <c r="C243" s="36" t="s">
        <v>1885</v>
      </c>
      <c r="D243" s="36" t="s">
        <v>3456</v>
      </c>
      <c r="E243" s="39">
        <v>30</v>
      </c>
      <c r="F243" s="37">
        <v>0</v>
      </c>
      <c r="G243" s="37">
        <v>0</v>
      </c>
      <c r="H243" s="38">
        <v>5966041</v>
      </c>
      <c r="I243" s="39">
        <v>5966041</v>
      </c>
      <c r="J243" s="38">
        <v>700300</v>
      </c>
      <c r="K243" s="39">
        <v>6666341</v>
      </c>
      <c r="L243" s="39">
        <v>2666536</v>
      </c>
      <c r="M243" s="39"/>
      <c r="N243" s="39"/>
      <c r="O243" s="39"/>
      <c r="P243" s="38">
        <v>5966041</v>
      </c>
      <c r="Q243" s="39">
        <v>0</v>
      </c>
      <c r="R243" s="39">
        <v>0</v>
      </c>
      <c r="S243" s="40"/>
      <c r="T243" s="38">
        <v>0</v>
      </c>
      <c r="U243" s="40"/>
      <c r="V243" s="40">
        <v>238642</v>
      </c>
      <c r="W243" s="42"/>
      <c r="X243" s="40"/>
      <c r="Y243" s="40">
        <v>238642</v>
      </c>
      <c r="Z243" s="42"/>
      <c r="AA243" s="40"/>
      <c r="AB243" s="40"/>
      <c r="AC243" s="40">
        <v>0</v>
      </c>
      <c r="AD243" s="42"/>
      <c r="AF243">
        <f>VLOOKUP(A243,Devengos!$A$4:$I$389,9,0)</f>
        <v>5966041</v>
      </c>
      <c r="AG243">
        <f t="shared" si="177"/>
        <v>5966041</v>
      </c>
      <c r="AH243">
        <f>IFERROR(VLOOKUP(B243,'Planilla Mes anterior'!$CX:$CY,2,0),0)</f>
        <v>5966041</v>
      </c>
      <c r="AJ243" s="95">
        <v>0</v>
      </c>
    </row>
    <row r="244" spans="1:36" x14ac:dyDescent="0.3">
      <c r="A244" s="81">
        <v>90717286</v>
      </c>
      <c r="B244" s="5">
        <v>1140884768</v>
      </c>
      <c r="C244" s="36" t="s">
        <v>1892</v>
      </c>
      <c r="D244" s="36" t="s">
        <v>3456</v>
      </c>
      <c r="E244" s="39">
        <v>30</v>
      </c>
      <c r="F244" s="37">
        <v>0</v>
      </c>
      <c r="G244" s="37">
        <v>0</v>
      </c>
      <c r="H244" s="38">
        <v>8303148</v>
      </c>
      <c r="I244" s="39">
        <v>8303148</v>
      </c>
      <c r="J244" s="38">
        <v>783500</v>
      </c>
      <c r="K244" s="39">
        <v>9086648</v>
      </c>
      <c r="L244" s="39">
        <v>3634659</v>
      </c>
      <c r="M244" s="39"/>
      <c r="N244" s="39"/>
      <c r="O244" s="39"/>
      <c r="P244" s="38">
        <v>8303148</v>
      </c>
      <c r="Q244" s="39">
        <v>0</v>
      </c>
      <c r="R244" s="39">
        <v>0</v>
      </c>
      <c r="S244" s="40"/>
      <c r="T244" s="38">
        <v>0</v>
      </c>
      <c r="U244" s="40"/>
      <c r="V244" s="40">
        <v>332126</v>
      </c>
      <c r="W244" s="42"/>
      <c r="X244" s="40"/>
      <c r="Y244" s="40">
        <v>332126</v>
      </c>
      <c r="Z244" s="42"/>
      <c r="AA244" s="40"/>
      <c r="AB244" s="40"/>
      <c r="AC244" s="40">
        <v>83200</v>
      </c>
      <c r="AD244" s="42"/>
      <c r="AF244">
        <f>VLOOKUP(A244,Devengos!$A$4:$I$389,9,0)</f>
        <v>8303148</v>
      </c>
      <c r="AG244">
        <f t="shared" si="177"/>
        <v>8303148</v>
      </c>
      <c r="AH244">
        <f>IFERROR(VLOOKUP(B244,'Planilla Mes anterior'!$CX:$CY,2,0),0)</f>
        <v>8303148</v>
      </c>
      <c r="AJ244" s="95">
        <v>0</v>
      </c>
    </row>
    <row r="245" spans="1:36" x14ac:dyDescent="0.3">
      <c r="A245" s="81">
        <v>90717788</v>
      </c>
      <c r="B245" s="5">
        <v>1136887802</v>
      </c>
      <c r="C245" s="36" t="s">
        <v>1895</v>
      </c>
      <c r="D245" s="36" t="s">
        <v>3456</v>
      </c>
      <c r="E245" s="39">
        <v>30</v>
      </c>
      <c r="F245" s="37">
        <v>0</v>
      </c>
      <c r="G245" s="37">
        <v>0</v>
      </c>
      <c r="H245" s="38">
        <v>11684400</v>
      </c>
      <c r="I245" s="39">
        <v>11684400</v>
      </c>
      <c r="J245" s="38">
        <v>1040019</v>
      </c>
      <c r="K245" s="39">
        <v>12724419</v>
      </c>
      <c r="L245" s="39">
        <v>5089768</v>
      </c>
      <c r="M245" s="39"/>
      <c r="N245" s="39"/>
      <c r="O245" s="39"/>
      <c r="P245" s="38">
        <v>11684400</v>
      </c>
      <c r="Q245" s="39">
        <v>0</v>
      </c>
      <c r="R245" s="39">
        <v>0</v>
      </c>
      <c r="S245" s="40"/>
      <c r="T245" s="38">
        <v>0</v>
      </c>
      <c r="U245" s="40"/>
      <c r="V245" s="40">
        <v>467376</v>
      </c>
      <c r="W245" s="42"/>
      <c r="X245" s="40"/>
      <c r="Y245" s="40">
        <v>467376</v>
      </c>
      <c r="Z245" s="42"/>
      <c r="AA245" s="40"/>
      <c r="AB245" s="40"/>
      <c r="AC245" s="40">
        <v>117000</v>
      </c>
      <c r="AD245" s="42"/>
      <c r="AF245">
        <f>VLOOKUP(A245,Devengos!$A$4:$I$389,9,0)</f>
        <v>11684400</v>
      </c>
      <c r="AG245">
        <f t="shared" si="177"/>
        <v>11684400</v>
      </c>
      <c r="AH245">
        <f>IFERROR(VLOOKUP(B245,'Planilla Mes anterior'!$CX:$CY,2,0),0)</f>
        <v>11684400</v>
      </c>
      <c r="AJ245" s="95">
        <v>0</v>
      </c>
    </row>
    <row r="246" spans="1:36" x14ac:dyDescent="0.3">
      <c r="A246" s="81">
        <v>90717901</v>
      </c>
      <c r="B246" s="5">
        <v>1113668936</v>
      </c>
      <c r="C246" s="36" t="s">
        <v>1901</v>
      </c>
      <c r="D246" s="36" t="s">
        <v>3456</v>
      </c>
      <c r="E246" s="39">
        <v>30</v>
      </c>
      <c r="F246" s="37">
        <v>0</v>
      </c>
      <c r="G246" s="37">
        <v>0</v>
      </c>
      <c r="H246" s="38">
        <v>11080800</v>
      </c>
      <c r="I246" s="39">
        <v>11080800</v>
      </c>
      <c r="J246" s="38">
        <v>811300</v>
      </c>
      <c r="K246" s="39">
        <v>11892100</v>
      </c>
      <c r="L246" s="39">
        <v>4756840</v>
      </c>
      <c r="M246" s="39"/>
      <c r="N246" s="39"/>
      <c r="O246" s="39"/>
      <c r="P246" s="38">
        <v>11097880</v>
      </c>
      <c r="Q246" s="39">
        <v>0</v>
      </c>
      <c r="R246" s="39">
        <v>0</v>
      </c>
      <c r="S246" s="40"/>
      <c r="T246" s="38">
        <v>0</v>
      </c>
      <c r="U246" s="40"/>
      <c r="V246" s="40">
        <v>443232</v>
      </c>
      <c r="W246" s="42"/>
      <c r="X246" s="40"/>
      <c r="Y246" s="40">
        <v>443232</v>
      </c>
      <c r="Z246" s="42"/>
      <c r="AA246" s="40"/>
      <c r="AB246" s="40"/>
      <c r="AC246" s="40">
        <v>111000</v>
      </c>
      <c r="AD246" s="42"/>
      <c r="AF246">
        <f>VLOOKUP(A246,Devengos!$A$4:$I$389,9,0)</f>
        <v>11080800</v>
      </c>
      <c r="AG246">
        <f t="shared" si="177"/>
        <v>11080800</v>
      </c>
      <c r="AH246">
        <f>IFERROR(VLOOKUP(B246,'Planilla Mes anterior'!$CX:$CY,2,0),0)</f>
        <v>11097880</v>
      </c>
      <c r="AJ246" s="95">
        <v>0</v>
      </c>
    </row>
    <row r="247" spans="1:36" x14ac:dyDescent="0.3">
      <c r="A247" s="81">
        <v>90717911</v>
      </c>
      <c r="B247" s="5">
        <v>1094931890</v>
      </c>
      <c r="C247" s="36" t="s">
        <v>1906</v>
      </c>
      <c r="D247" s="36" t="s">
        <v>3456</v>
      </c>
      <c r="E247" s="39">
        <v>30</v>
      </c>
      <c r="F247" s="37">
        <v>1</v>
      </c>
      <c r="G247" s="37">
        <v>0</v>
      </c>
      <c r="H247" s="38">
        <v>9941882</v>
      </c>
      <c r="I247" s="39">
        <v>9941882</v>
      </c>
      <c r="J247" s="38">
        <v>803500</v>
      </c>
      <c r="K247" s="39">
        <v>10745382</v>
      </c>
      <c r="L247" s="39">
        <v>4298153</v>
      </c>
      <c r="M247" s="39"/>
      <c r="N247" s="39"/>
      <c r="O247" s="39"/>
      <c r="P247" s="38">
        <v>10307571</v>
      </c>
      <c r="Q247" s="39">
        <v>343586</v>
      </c>
      <c r="R247" s="39">
        <v>0</v>
      </c>
      <c r="S247" s="40"/>
      <c r="T247" s="38">
        <v>0</v>
      </c>
      <c r="U247" s="40"/>
      <c r="V247" s="40">
        <v>411418</v>
      </c>
      <c r="W247" s="42"/>
      <c r="X247" s="40"/>
      <c r="Y247" s="40">
        <v>411418</v>
      </c>
      <c r="Z247" s="42"/>
      <c r="AA247" s="40"/>
      <c r="AB247" s="40"/>
      <c r="AC247" s="40">
        <v>103200</v>
      </c>
      <c r="AD247" s="42"/>
      <c r="AF247">
        <f>VLOOKUP(A247,Devengos!$A$4:$I$389,9,0)</f>
        <v>10284705</v>
      </c>
      <c r="AG247">
        <f t="shared" si="177"/>
        <v>10284705</v>
      </c>
      <c r="AH247">
        <f>IFERROR(VLOOKUP(B247,'Planilla Mes anterior'!$CX:$CY,2,0),0)</f>
        <v>10307571</v>
      </c>
      <c r="AJ247" s="95">
        <v>0</v>
      </c>
    </row>
    <row r="248" spans="1:36" x14ac:dyDescent="0.3">
      <c r="A248" s="81">
        <v>90718502</v>
      </c>
      <c r="B248" s="5">
        <v>71260201</v>
      </c>
      <c r="C248" s="36" t="s">
        <v>1911</v>
      </c>
      <c r="D248" s="36" t="s">
        <v>3344</v>
      </c>
      <c r="E248" s="39">
        <v>30</v>
      </c>
      <c r="F248" s="37">
        <v>4</v>
      </c>
      <c r="G248" s="37">
        <v>0</v>
      </c>
      <c r="H248" s="38">
        <v>19726863</v>
      </c>
      <c r="I248" s="39">
        <v>13808804</v>
      </c>
      <c r="J248" s="38">
        <v>859900</v>
      </c>
      <c r="K248" s="39">
        <v>20586763</v>
      </c>
      <c r="L248" s="39">
        <v>8234705</v>
      </c>
      <c r="M248" s="39"/>
      <c r="N248" s="39"/>
      <c r="O248" s="39"/>
      <c r="P248" s="38">
        <v>15933236</v>
      </c>
      <c r="Q248" s="39">
        <v>2124431</v>
      </c>
      <c r="R248" s="39">
        <v>0</v>
      </c>
      <c r="S248" s="40"/>
      <c r="T248" s="38"/>
      <c r="U248" s="40"/>
      <c r="V248" s="40">
        <v>637329</v>
      </c>
      <c r="W248" s="42"/>
      <c r="X248" s="40"/>
      <c r="Y248" s="40">
        <v>637329</v>
      </c>
      <c r="Z248" s="42"/>
      <c r="AA248" s="40"/>
      <c r="AB248" s="40"/>
      <c r="AC248" s="40">
        <v>159600</v>
      </c>
      <c r="AD248" s="42"/>
      <c r="AF248">
        <f>VLOOKUP(A248,Devengos!$A$4:$I$389,9,0)</f>
        <v>22761765</v>
      </c>
      <c r="AG248">
        <f t="shared" si="177"/>
        <v>15933236</v>
      </c>
      <c r="AH248">
        <f>IFERROR(VLOOKUP(B248,'Planilla Mes anterior'!$CX:$CY,2,0),0)</f>
        <v>15933236</v>
      </c>
      <c r="AJ248" s="95">
        <v>0</v>
      </c>
    </row>
    <row r="249" spans="1:36" x14ac:dyDescent="0.3">
      <c r="A249" s="81">
        <v>90718550</v>
      </c>
      <c r="B249" s="5">
        <v>1140876560</v>
      </c>
      <c r="C249" s="36" t="s">
        <v>1915</v>
      </c>
      <c r="D249" s="36" t="s">
        <v>3456</v>
      </c>
      <c r="E249" s="39">
        <v>30</v>
      </c>
      <c r="F249" s="37">
        <v>0</v>
      </c>
      <c r="G249" s="37">
        <v>0</v>
      </c>
      <c r="H249" s="38">
        <v>13335454</v>
      </c>
      <c r="I249" s="39">
        <v>13335454</v>
      </c>
      <c r="J249" s="38">
        <v>833700</v>
      </c>
      <c r="K249" s="39">
        <v>14169154</v>
      </c>
      <c r="L249" s="39">
        <v>5667662</v>
      </c>
      <c r="M249" s="39"/>
      <c r="N249" s="39"/>
      <c r="O249" s="39"/>
      <c r="P249" s="38">
        <v>13335454</v>
      </c>
      <c r="Q249" s="39">
        <v>0</v>
      </c>
      <c r="R249" s="39">
        <v>0</v>
      </c>
      <c r="S249" s="40"/>
      <c r="T249" s="38">
        <v>0</v>
      </c>
      <c r="U249" s="40"/>
      <c r="V249" s="40">
        <v>533418</v>
      </c>
      <c r="W249" s="42"/>
      <c r="X249" s="40"/>
      <c r="Y249" s="40">
        <v>533418</v>
      </c>
      <c r="Z249" s="42"/>
      <c r="AA249" s="40"/>
      <c r="AB249" s="40"/>
      <c r="AC249" s="40">
        <v>133400</v>
      </c>
      <c r="AD249" s="42"/>
      <c r="AF249">
        <f>VLOOKUP(A249,Devengos!$A$4:$I$389,9,0)</f>
        <v>13335454</v>
      </c>
      <c r="AG249">
        <f t="shared" si="177"/>
        <v>13335454</v>
      </c>
      <c r="AH249">
        <f>IFERROR(VLOOKUP(B249,'Planilla Mes anterior'!$CX:$CY,2,0),0)</f>
        <v>13335454</v>
      </c>
      <c r="AJ249" s="95">
        <v>0</v>
      </c>
    </row>
    <row r="250" spans="1:36" x14ac:dyDescent="0.3">
      <c r="A250" s="81">
        <v>90718559</v>
      </c>
      <c r="B250" s="5">
        <v>1010217504</v>
      </c>
      <c r="C250" s="36" t="s">
        <v>1919</v>
      </c>
      <c r="D250" s="36" t="s">
        <v>3456</v>
      </c>
      <c r="E250" s="39">
        <v>30</v>
      </c>
      <c r="F250" s="37">
        <v>7</v>
      </c>
      <c r="G250" s="37">
        <v>0</v>
      </c>
      <c r="H250" s="38">
        <v>3696406</v>
      </c>
      <c r="I250" s="39">
        <v>3696406</v>
      </c>
      <c r="J250" s="38">
        <v>700300</v>
      </c>
      <c r="K250" s="39">
        <v>4396706</v>
      </c>
      <c r="L250" s="39">
        <v>1758682</v>
      </c>
      <c r="M250" s="39"/>
      <c r="N250" s="39"/>
      <c r="O250" s="39"/>
      <c r="P250" s="38">
        <v>4821399</v>
      </c>
      <c r="Q250" s="39">
        <v>1124993</v>
      </c>
      <c r="R250" s="39">
        <v>0</v>
      </c>
      <c r="S250" s="40"/>
      <c r="T250" s="38">
        <v>0</v>
      </c>
      <c r="U250" s="40"/>
      <c r="V250" s="40">
        <v>192856</v>
      </c>
      <c r="W250" s="42"/>
      <c r="X250" s="40"/>
      <c r="Y250" s="40">
        <v>192856</v>
      </c>
      <c r="Z250" s="42"/>
      <c r="AA250" s="40"/>
      <c r="AB250" s="40"/>
      <c r="AC250" s="40">
        <v>0</v>
      </c>
      <c r="AD250" s="42"/>
      <c r="AF250">
        <f>VLOOKUP(A250,Devengos!$A$4:$I$389,9,0)</f>
        <v>4821399</v>
      </c>
      <c r="AG250">
        <f t="shared" si="177"/>
        <v>4821399</v>
      </c>
      <c r="AH250">
        <f>IFERROR(VLOOKUP(B250,'Planilla Mes anterior'!$CX:$CY,2,0),0)</f>
        <v>4821399</v>
      </c>
      <c r="AJ250" s="95">
        <v>0</v>
      </c>
    </row>
    <row r="251" spans="1:36" x14ac:dyDescent="0.3">
      <c r="A251" s="81">
        <v>90719155</v>
      </c>
      <c r="B251" s="5">
        <v>73197006</v>
      </c>
      <c r="C251" s="36" t="s">
        <v>1923</v>
      </c>
      <c r="D251" s="36" t="s">
        <v>3456</v>
      </c>
      <c r="E251" s="39">
        <v>30</v>
      </c>
      <c r="F251" s="37">
        <v>2</v>
      </c>
      <c r="G251" s="37">
        <v>0</v>
      </c>
      <c r="H251" s="38">
        <v>5811792</v>
      </c>
      <c r="I251" s="39">
        <v>5811792</v>
      </c>
      <c r="J251" s="38">
        <v>901329</v>
      </c>
      <c r="K251" s="39">
        <v>6713121</v>
      </c>
      <c r="L251" s="39">
        <v>2685248</v>
      </c>
      <c r="M251" s="39"/>
      <c r="N251" s="39"/>
      <c r="O251" s="39"/>
      <c r="P251" s="38">
        <v>7280147</v>
      </c>
      <c r="Q251" s="39">
        <v>485343</v>
      </c>
      <c r="R251" s="39">
        <v>0</v>
      </c>
      <c r="S251" s="40"/>
      <c r="T251" s="38">
        <v>0</v>
      </c>
      <c r="U251" s="40"/>
      <c r="V251" s="40">
        <v>251886</v>
      </c>
      <c r="W251" s="42"/>
      <c r="X251" s="40"/>
      <c r="Y251" s="40">
        <v>251886</v>
      </c>
      <c r="Z251" s="42"/>
      <c r="AA251" s="40"/>
      <c r="AB251" s="40"/>
      <c r="AC251" s="40">
        <v>0</v>
      </c>
      <c r="AD251" s="42"/>
      <c r="AF251">
        <f>VLOOKUP(A251,Devengos!$A$4:$I$389,9,0)</f>
        <v>6226920</v>
      </c>
      <c r="AG251">
        <f t="shared" si="177"/>
        <v>6226920</v>
      </c>
      <c r="AH251">
        <f>IFERROR(VLOOKUP(B251,'Planilla Mes anterior'!$CX:$CY,2,0),0)</f>
        <v>7280147</v>
      </c>
      <c r="AJ251" s="95">
        <v>0</v>
      </c>
    </row>
    <row r="252" spans="1:36" x14ac:dyDescent="0.3">
      <c r="A252" s="81">
        <v>90720157</v>
      </c>
      <c r="B252" s="5">
        <v>8101049</v>
      </c>
      <c r="C252" s="36" t="s">
        <v>1927</v>
      </c>
      <c r="D252" s="36" t="s">
        <v>3456</v>
      </c>
      <c r="E252" s="39">
        <v>30</v>
      </c>
      <c r="F252" s="37">
        <v>0</v>
      </c>
      <c r="G252" s="37">
        <v>0</v>
      </c>
      <c r="H252" s="38">
        <v>13852080</v>
      </c>
      <c r="I252" s="39">
        <v>13852080</v>
      </c>
      <c r="J252" s="38">
        <v>838900</v>
      </c>
      <c r="K252" s="39">
        <v>14690980</v>
      </c>
      <c r="L252" s="39">
        <v>5876392</v>
      </c>
      <c r="M252" s="39"/>
      <c r="N252" s="39"/>
      <c r="O252" s="39"/>
      <c r="P252" s="38">
        <v>13852080</v>
      </c>
      <c r="Q252" s="39">
        <v>0</v>
      </c>
      <c r="R252" s="39">
        <v>0</v>
      </c>
      <c r="S252" s="40"/>
      <c r="T252" s="38">
        <v>0</v>
      </c>
      <c r="U252" s="40"/>
      <c r="V252" s="40">
        <v>554083</v>
      </c>
      <c r="W252" s="42"/>
      <c r="X252" s="40"/>
      <c r="Y252" s="40">
        <v>554083</v>
      </c>
      <c r="Z252" s="42"/>
      <c r="AA252" s="40"/>
      <c r="AB252" s="40"/>
      <c r="AC252" s="40">
        <v>138600</v>
      </c>
      <c r="AD252" s="42"/>
      <c r="AF252">
        <f>VLOOKUP(A252,Devengos!$A$4:$I$389,9,0)</f>
        <v>13852080</v>
      </c>
      <c r="AG252">
        <f t="shared" si="177"/>
        <v>13852080</v>
      </c>
      <c r="AH252">
        <f>IFERROR(VLOOKUP(B252,'Planilla Mes anterior'!$CX:$CY,2,0),0)</f>
        <v>13852080</v>
      </c>
      <c r="AJ252" s="95">
        <v>0</v>
      </c>
    </row>
    <row r="253" spans="1:36" x14ac:dyDescent="0.3">
      <c r="A253" s="81">
        <v>90720353</v>
      </c>
      <c r="B253" s="5">
        <v>1193103464</v>
      </c>
      <c r="C253" s="36" t="s">
        <v>1932</v>
      </c>
      <c r="D253" s="36" t="s">
        <v>3456</v>
      </c>
      <c r="E253" s="39">
        <v>30</v>
      </c>
      <c r="F253" s="37">
        <v>3</v>
      </c>
      <c r="G253" s="37">
        <v>0</v>
      </c>
      <c r="H253" s="38">
        <v>3447781</v>
      </c>
      <c r="I253" s="39">
        <v>3447781</v>
      </c>
      <c r="J253" s="38">
        <v>700300</v>
      </c>
      <c r="K253" s="39">
        <v>4148081</v>
      </c>
      <c r="L253" s="39">
        <v>1659232</v>
      </c>
      <c r="M253" s="39"/>
      <c r="N253" s="39"/>
      <c r="O253" s="39"/>
      <c r="P253" s="38">
        <v>3835258</v>
      </c>
      <c r="Q253" s="39">
        <v>383526</v>
      </c>
      <c r="R253" s="39">
        <v>0</v>
      </c>
      <c r="S253" s="40"/>
      <c r="T253" s="38">
        <v>0</v>
      </c>
      <c r="U253" s="40"/>
      <c r="V253" s="40">
        <v>153252</v>
      </c>
      <c r="W253" s="42"/>
      <c r="X253" s="40"/>
      <c r="Y253" s="40">
        <v>153252</v>
      </c>
      <c r="Z253" s="42"/>
      <c r="AA253" s="40"/>
      <c r="AB253" s="40"/>
      <c r="AC253" s="40">
        <v>0</v>
      </c>
      <c r="AD253" s="42"/>
      <c r="AF253">
        <f>VLOOKUP(A253,Devengos!$A$4:$I$389,9,0)</f>
        <v>3830868</v>
      </c>
      <c r="AG253">
        <f t="shared" si="177"/>
        <v>3830868</v>
      </c>
      <c r="AH253">
        <f>IFERROR(VLOOKUP(B253,'Planilla Mes anterior'!$CX:$CY,2,0),0)</f>
        <v>3835258</v>
      </c>
      <c r="AJ253" s="95">
        <v>0</v>
      </c>
    </row>
    <row r="254" spans="1:36" x14ac:dyDescent="0.3">
      <c r="A254" s="81">
        <v>90720354</v>
      </c>
      <c r="B254" s="5">
        <v>1033770207.0000001</v>
      </c>
      <c r="C254" s="36" t="s">
        <v>1937</v>
      </c>
      <c r="D254" s="36" t="s">
        <v>3456</v>
      </c>
      <c r="E254" s="39">
        <v>30</v>
      </c>
      <c r="F254" s="37">
        <v>1</v>
      </c>
      <c r="G254" s="37">
        <v>0</v>
      </c>
      <c r="H254" s="38">
        <v>4248155</v>
      </c>
      <c r="I254" s="39">
        <v>4248155</v>
      </c>
      <c r="J254" s="38">
        <v>700300</v>
      </c>
      <c r="K254" s="39">
        <v>4948455</v>
      </c>
      <c r="L254" s="39">
        <v>1979382</v>
      </c>
      <c r="M254" s="39"/>
      <c r="N254" s="39"/>
      <c r="O254" s="39"/>
      <c r="P254" s="38">
        <v>4394644</v>
      </c>
      <c r="Q254" s="39">
        <v>146488</v>
      </c>
      <c r="R254" s="39">
        <v>0</v>
      </c>
      <c r="S254" s="40"/>
      <c r="T254" s="38">
        <v>0</v>
      </c>
      <c r="U254" s="40"/>
      <c r="V254" s="40">
        <v>175786</v>
      </c>
      <c r="W254" s="42"/>
      <c r="X254" s="40"/>
      <c r="Y254" s="40">
        <v>175786</v>
      </c>
      <c r="Z254" s="42"/>
      <c r="AA254" s="40"/>
      <c r="AB254" s="40"/>
      <c r="AC254" s="40">
        <v>0</v>
      </c>
      <c r="AD254" s="42"/>
      <c r="AF254">
        <f>VLOOKUP(A254,Devengos!$A$4:$I$389,9,0)</f>
        <v>4394643</v>
      </c>
      <c r="AG254">
        <f t="shared" si="177"/>
        <v>4394643</v>
      </c>
      <c r="AH254">
        <f>IFERROR(VLOOKUP(B254,'Planilla Mes anterior'!$CX:$CY,2,0),0)</f>
        <v>4394644</v>
      </c>
      <c r="AJ254" s="95">
        <v>0</v>
      </c>
    </row>
    <row r="255" spans="1:36" x14ac:dyDescent="0.3">
      <c r="A255" s="81">
        <v>90720616</v>
      </c>
      <c r="B255" s="5">
        <v>1018410898</v>
      </c>
      <c r="C255" s="36" t="s">
        <v>1942</v>
      </c>
      <c r="D255" s="36" t="s">
        <v>3456</v>
      </c>
      <c r="E255" s="39">
        <v>30</v>
      </c>
      <c r="F255" s="37">
        <v>0</v>
      </c>
      <c r="G255" s="37">
        <v>0</v>
      </c>
      <c r="H255" s="38">
        <v>8883469</v>
      </c>
      <c r="I255" s="39">
        <v>8883469</v>
      </c>
      <c r="J255" s="38">
        <v>789300</v>
      </c>
      <c r="K255" s="39">
        <v>9672769</v>
      </c>
      <c r="L255" s="39">
        <v>3869108</v>
      </c>
      <c r="M255" s="39"/>
      <c r="N255" s="39"/>
      <c r="O255" s="39"/>
      <c r="P255" s="38">
        <v>8883469</v>
      </c>
      <c r="Q255" s="39">
        <v>0</v>
      </c>
      <c r="R255" s="39">
        <v>0</v>
      </c>
      <c r="S255" s="40"/>
      <c r="T255" s="38">
        <v>0</v>
      </c>
      <c r="U255" s="40"/>
      <c r="V255" s="40">
        <v>355339</v>
      </c>
      <c r="W255" s="42"/>
      <c r="X255" s="40"/>
      <c r="Y255" s="40">
        <v>355339</v>
      </c>
      <c r="Z255" s="42"/>
      <c r="AA255" s="40"/>
      <c r="AB255" s="40"/>
      <c r="AC255" s="40">
        <v>89000</v>
      </c>
      <c r="AD255" s="42"/>
      <c r="AF255">
        <f>VLOOKUP(A255,Devengos!$A$4:$I$389,9,0)</f>
        <v>8883469</v>
      </c>
      <c r="AG255">
        <f t="shared" si="177"/>
        <v>8883469</v>
      </c>
      <c r="AH255">
        <f>IFERROR(VLOOKUP(B255,'Planilla Mes anterior'!$CX:$CY,2,0),0)</f>
        <v>8883469</v>
      </c>
      <c r="AJ255" s="95">
        <v>0</v>
      </c>
    </row>
    <row r="256" spans="1:36" x14ac:dyDescent="0.3">
      <c r="A256" s="81">
        <v>90720624</v>
      </c>
      <c r="B256" s="5">
        <v>1010113978</v>
      </c>
      <c r="C256" s="36" t="s">
        <v>1945</v>
      </c>
      <c r="D256" s="36" t="s">
        <v>3456</v>
      </c>
      <c r="E256" s="39">
        <v>30</v>
      </c>
      <c r="F256" s="37">
        <v>0</v>
      </c>
      <c r="G256" s="37">
        <v>0</v>
      </c>
      <c r="H256" s="38">
        <v>3283688</v>
      </c>
      <c r="I256" s="39">
        <v>3283688</v>
      </c>
      <c r="J256" s="38">
        <v>774200</v>
      </c>
      <c r="K256" s="39">
        <v>4057888</v>
      </c>
      <c r="L256" s="39">
        <v>1623155</v>
      </c>
      <c r="M256" s="39"/>
      <c r="N256" s="39"/>
      <c r="O256" s="39"/>
      <c r="P256" s="38">
        <v>3283688</v>
      </c>
      <c r="Q256" s="39">
        <v>0</v>
      </c>
      <c r="R256" s="39">
        <v>0</v>
      </c>
      <c r="S256" s="40"/>
      <c r="T256" s="38">
        <v>0</v>
      </c>
      <c r="U256" s="40"/>
      <c r="V256" s="40">
        <v>131348</v>
      </c>
      <c r="W256" s="42"/>
      <c r="X256" s="40"/>
      <c r="Y256" s="40">
        <v>131348</v>
      </c>
      <c r="Z256" s="42"/>
      <c r="AA256" s="40"/>
      <c r="AB256" s="40"/>
      <c r="AC256" s="40">
        <v>0</v>
      </c>
      <c r="AD256" s="42"/>
      <c r="AF256">
        <f>VLOOKUP(A256,Devengos!$A$4:$I$389,9,0)</f>
        <v>3283688</v>
      </c>
      <c r="AG256">
        <f t="shared" si="177"/>
        <v>3283688</v>
      </c>
      <c r="AH256">
        <f>IFERROR(VLOOKUP(B256,'Planilla Mes anterior'!$CX:$CY,2,0),0)</f>
        <v>3283688</v>
      </c>
      <c r="AJ256" s="95">
        <v>0</v>
      </c>
    </row>
    <row r="257" spans="1:36" x14ac:dyDescent="0.3">
      <c r="A257" s="81">
        <v>90720793</v>
      </c>
      <c r="B257" s="5">
        <v>1031144264</v>
      </c>
      <c r="C257" s="36" t="s">
        <v>1950</v>
      </c>
      <c r="D257" s="36" t="s">
        <v>3456</v>
      </c>
      <c r="E257" s="39">
        <v>30</v>
      </c>
      <c r="F257" s="37">
        <v>0</v>
      </c>
      <c r="G257" s="37">
        <v>0</v>
      </c>
      <c r="H257" s="38">
        <v>4033838</v>
      </c>
      <c r="I257" s="39">
        <v>4033838</v>
      </c>
      <c r="J257" s="38">
        <v>700300</v>
      </c>
      <c r="K257" s="39">
        <v>4734138</v>
      </c>
      <c r="L257" s="39">
        <v>1893655</v>
      </c>
      <c r="M257" s="39"/>
      <c r="N257" s="39"/>
      <c r="O257" s="39"/>
      <c r="P257" s="38">
        <v>4033838</v>
      </c>
      <c r="Q257" s="39">
        <v>0</v>
      </c>
      <c r="R257" s="39">
        <v>0</v>
      </c>
      <c r="S257" s="40"/>
      <c r="T257" s="38">
        <v>0</v>
      </c>
      <c r="U257" s="40"/>
      <c r="V257" s="40">
        <v>161354</v>
      </c>
      <c r="W257" s="42"/>
      <c r="X257" s="40"/>
      <c r="Y257" s="40">
        <v>161354</v>
      </c>
      <c r="Z257" s="42"/>
      <c r="AA257" s="40"/>
      <c r="AB257" s="40"/>
      <c r="AC257" s="40">
        <v>0</v>
      </c>
      <c r="AD257" s="42"/>
      <c r="AF257">
        <f>VLOOKUP(A257,Devengos!$A$4:$I$389,9,0)</f>
        <v>4033838</v>
      </c>
      <c r="AG257">
        <f t="shared" si="177"/>
        <v>4033838</v>
      </c>
      <c r="AH257">
        <f>IFERROR(VLOOKUP(B257,'Planilla Mes anterior'!$CX:$CY,2,0),0)</f>
        <v>4033838</v>
      </c>
      <c r="AJ257" s="95">
        <v>0</v>
      </c>
    </row>
    <row r="258" spans="1:36" x14ac:dyDescent="0.3">
      <c r="A258" s="81">
        <v>90721482</v>
      </c>
      <c r="B258" s="5">
        <v>1007766763.0000001</v>
      </c>
      <c r="C258" s="36" t="s">
        <v>1954</v>
      </c>
      <c r="D258" s="36" t="s">
        <v>3456</v>
      </c>
      <c r="E258" s="39">
        <v>30</v>
      </c>
      <c r="F258" s="37">
        <v>0</v>
      </c>
      <c r="G258" s="37">
        <v>0</v>
      </c>
      <c r="H258" s="38">
        <v>3681686</v>
      </c>
      <c r="I258" s="39">
        <v>3681686</v>
      </c>
      <c r="J258" s="38">
        <v>901329</v>
      </c>
      <c r="K258" s="39">
        <v>4583015</v>
      </c>
      <c r="L258" s="39">
        <v>1833206</v>
      </c>
      <c r="M258" s="39"/>
      <c r="N258" s="39"/>
      <c r="O258" s="39"/>
      <c r="P258" s="38">
        <v>3681686</v>
      </c>
      <c r="Q258" s="39">
        <v>0</v>
      </c>
      <c r="R258" s="39">
        <v>0</v>
      </c>
      <c r="S258" s="40"/>
      <c r="T258" s="38">
        <v>0</v>
      </c>
      <c r="U258" s="40"/>
      <c r="V258" s="40">
        <v>147267</v>
      </c>
      <c r="W258" s="42"/>
      <c r="X258" s="40"/>
      <c r="Y258" s="40">
        <v>147267</v>
      </c>
      <c r="Z258" s="42"/>
      <c r="AA258" s="40"/>
      <c r="AB258" s="40"/>
      <c r="AC258" s="40">
        <v>0</v>
      </c>
      <c r="AD258" s="42"/>
      <c r="AF258">
        <f>VLOOKUP(A258,Devengos!$A$4:$I$389,9,0)</f>
        <v>3681686</v>
      </c>
      <c r="AG258">
        <f t="shared" si="177"/>
        <v>3681686</v>
      </c>
      <c r="AH258">
        <f>IFERROR(VLOOKUP(B258,'Planilla Mes anterior'!$CX:$CY,2,0),0)</f>
        <v>3681686</v>
      </c>
      <c r="AJ258" s="95">
        <v>0</v>
      </c>
    </row>
    <row r="259" spans="1:36" x14ac:dyDescent="0.3">
      <c r="A259" s="81">
        <v>90721483</v>
      </c>
      <c r="B259" s="5">
        <v>1127607333</v>
      </c>
      <c r="C259" s="36" t="s">
        <v>1959</v>
      </c>
      <c r="D259" s="36" t="s">
        <v>3456</v>
      </c>
      <c r="E259" s="39">
        <v>50</v>
      </c>
      <c r="F259" s="37">
        <v>0</v>
      </c>
      <c r="G259" s="37">
        <v>0</v>
      </c>
      <c r="H259" s="38">
        <v>10249799</v>
      </c>
      <c r="I259" s="39">
        <v>10249799</v>
      </c>
      <c r="J259" s="38">
        <v>802900</v>
      </c>
      <c r="K259" s="39">
        <v>11052699</v>
      </c>
      <c r="L259" s="39">
        <v>4421080</v>
      </c>
      <c r="M259" s="39"/>
      <c r="N259" s="39"/>
      <c r="O259" s="39"/>
      <c r="P259" s="38">
        <v>11139894</v>
      </c>
      <c r="Q259" s="39">
        <v>0</v>
      </c>
      <c r="R259" s="39">
        <v>0</v>
      </c>
      <c r="S259" s="40"/>
      <c r="T259" s="38">
        <v>0</v>
      </c>
      <c r="U259" s="40"/>
      <c r="V259" s="40">
        <v>409992</v>
      </c>
      <c r="W259" s="42"/>
      <c r="X259" s="40"/>
      <c r="Y259" s="40">
        <v>409992</v>
      </c>
      <c r="Z259" s="42"/>
      <c r="AA259" s="40"/>
      <c r="AB259" s="40"/>
      <c r="AC259" s="40">
        <v>102600</v>
      </c>
      <c r="AD259" s="42"/>
      <c r="AF259">
        <f>VLOOKUP(A259,Devengos!$A$4:$I$389,9,0)</f>
        <v>8740122</v>
      </c>
      <c r="AG259">
        <f t="shared" si="177"/>
        <v>8740122</v>
      </c>
      <c r="AH259">
        <f>IFERROR(VLOOKUP(B259,'Planilla Mes anterior'!$CX:$CY,2,0),0)</f>
        <v>11139894</v>
      </c>
      <c r="AJ259" s="95">
        <v>0</v>
      </c>
    </row>
    <row r="260" spans="1:36" x14ac:dyDescent="0.3">
      <c r="A260" s="81">
        <v>90721515</v>
      </c>
      <c r="B260" s="5">
        <v>43260867</v>
      </c>
      <c r="C260" s="36" t="s">
        <v>1963</v>
      </c>
      <c r="D260" s="36" t="s">
        <v>3344</v>
      </c>
      <c r="E260" s="39">
        <v>30</v>
      </c>
      <c r="F260" s="37">
        <v>1</v>
      </c>
      <c r="G260" s="37">
        <v>0</v>
      </c>
      <c r="H260" s="38">
        <v>22003040</v>
      </c>
      <c r="I260" s="39">
        <v>15402128</v>
      </c>
      <c r="J260" s="38">
        <v>859900</v>
      </c>
      <c r="K260" s="39">
        <v>22862940</v>
      </c>
      <c r="L260" s="39">
        <v>9145176</v>
      </c>
      <c r="M260" s="39"/>
      <c r="N260" s="39"/>
      <c r="O260" s="39"/>
      <c r="P260" s="38">
        <v>15933236</v>
      </c>
      <c r="Q260" s="39">
        <v>531108</v>
      </c>
      <c r="R260" s="39">
        <v>0</v>
      </c>
      <c r="S260" s="40"/>
      <c r="T260" s="38"/>
      <c r="U260" s="40"/>
      <c r="V260" s="40">
        <v>637329</v>
      </c>
      <c r="W260" s="42"/>
      <c r="X260" s="40"/>
      <c r="Y260" s="40">
        <v>637329</v>
      </c>
      <c r="Z260" s="42"/>
      <c r="AA260" s="40"/>
      <c r="AB260" s="40"/>
      <c r="AC260" s="40">
        <v>159600</v>
      </c>
      <c r="AD260" s="42"/>
      <c r="AF260">
        <f>VLOOKUP(A260,Devengos!$A$4:$I$389,9,0)</f>
        <v>22761765</v>
      </c>
      <c r="AG260">
        <f t="shared" ref="AG260:AG323" si="217">IF(D260="Integral",ROUND(AF260*70%,0),AF260)</f>
        <v>15933236</v>
      </c>
      <c r="AH260">
        <f>IFERROR(VLOOKUP(B260,'Planilla Mes anterior'!$CX:$CY,2,0),0)</f>
        <v>15933236</v>
      </c>
      <c r="AJ260" s="95">
        <v>0</v>
      </c>
    </row>
    <row r="261" spans="1:36" x14ac:dyDescent="0.3">
      <c r="A261" s="81">
        <v>90721984</v>
      </c>
      <c r="B261" s="5">
        <v>40342326</v>
      </c>
      <c r="C261" s="36" t="s">
        <v>1967</v>
      </c>
      <c r="D261" s="36" t="s">
        <v>3456</v>
      </c>
      <c r="E261" s="39">
        <v>30</v>
      </c>
      <c r="F261" s="37">
        <v>0</v>
      </c>
      <c r="G261" s="37">
        <v>0</v>
      </c>
      <c r="H261" s="38">
        <v>13773271</v>
      </c>
      <c r="I261" s="39">
        <v>13773271</v>
      </c>
      <c r="J261" s="38">
        <v>838100</v>
      </c>
      <c r="K261" s="39">
        <v>14611371</v>
      </c>
      <c r="L261" s="39">
        <v>5844548</v>
      </c>
      <c r="M261" s="39"/>
      <c r="N261" s="39"/>
      <c r="O261" s="39"/>
      <c r="P261" s="38">
        <v>13773271</v>
      </c>
      <c r="Q261" s="39">
        <v>0</v>
      </c>
      <c r="R261" s="39">
        <v>0</v>
      </c>
      <c r="S261" s="40"/>
      <c r="T261" s="38">
        <v>0</v>
      </c>
      <c r="U261" s="40"/>
      <c r="V261" s="40">
        <v>550931</v>
      </c>
      <c r="W261" s="42"/>
      <c r="X261" s="40"/>
      <c r="Y261" s="40">
        <v>550931</v>
      </c>
      <c r="Z261" s="42"/>
      <c r="AA261" s="40"/>
      <c r="AB261" s="40"/>
      <c r="AC261" s="40">
        <v>137800</v>
      </c>
      <c r="AD261" s="42"/>
      <c r="AF261">
        <f>VLOOKUP(A261,Devengos!$A$4:$I$389,9,0)</f>
        <v>13773271</v>
      </c>
      <c r="AG261">
        <f t="shared" si="217"/>
        <v>13773271</v>
      </c>
      <c r="AH261">
        <f>IFERROR(VLOOKUP(B261,'Planilla Mes anterior'!$CX:$CY,2,0),0)</f>
        <v>13773271</v>
      </c>
      <c r="AJ261" s="95">
        <v>0</v>
      </c>
    </row>
    <row r="262" spans="1:36" x14ac:dyDescent="0.3">
      <c r="A262" s="81">
        <v>90721986</v>
      </c>
      <c r="B262" s="5">
        <v>1032482930</v>
      </c>
      <c r="C262" s="36" t="s">
        <v>1972</v>
      </c>
      <c r="D262" s="36" t="s">
        <v>3456</v>
      </c>
      <c r="E262" s="39">
        <v>30</v>
      </c>
      <c r="F262" s="37">
        <v>0</v>
      </c>
      <c r="G262" s="37">
        <v>0</v>
      </c>
      <c r="H262" s="38">
        <v>3855576</v>
      </c>
      <c r="I262" s="39">
        <v>3855576</v>
      </c>
      <c r="J262" s="38">
        <v>700300</v>
      </c>
      <c r="K262" s="39">
        <v>4555876</v>
      </c>
      <c r="L262" s="39">
        <v>1822350</v>
      </c>
      <c r="M262" s="39"/>
      <c r="N262" s="39"/>
      <c r="O262" s="39"/>
      <c r="P262" s="38">
        <v>3855576</v>
      </c>
      <c r="Q262" s="39">
        <v>0</v>
      </c>
      <c r="R262" s="39">
        <v>0</v>
      </c>
      <c r="S262" s="40"/>
      <c r="T262" s="38">
        <v>0</v>
      </c>
      <c r="U262" s="40"/>
      <c r="V262" s="40">
        <v>154223</v>
      </c>
      <c r="W262" s="42"/>
      <c r="X262" s="40"/>
      <c r="Y262" s="40">
        <v>154223</v>
      </c>
      <c r="Z262" s="42"/>
      <c r="AA262" s="40"/>
      <c r="AB262" s="40"/>
      <c r="AC262" s="40">
        <v>0</v>
      </c>
      <c r="AD262" s="42"/>
      <c r="AF262">
        <f>VLOOKUP(A262,Devengos!$A$4:$I$389,9,0)</f>
        <v>3855576</v>
      </c>
      <c r="AG262">
        <f t="shared" si="217"/>
        <v>3855576</v>
      </c>
      <c r="AH262">
        <f>IFERROR(VLOOKUP(B262,'Planilla Mes anterior'!$CX:$CY,2,0),0)</f>
        <v>3855576</v>
      </c>
      <c r="AJ262" s="95">
        <v>0</v>
      </c>
    </row>
    <row r="263" spans="1:36" x14ac:dyDescent="0.3">
      <c r="A263" s="81">
        <v>90722214</v>
      </c>
      <c r="B263" s="5">
        <v>1085553142</v>
      </c>
      <c r="C263" s="36" t="s">
        <v>1977</v>
      </c>
      <c r="D263" s="36" t="s">
        <v>3456</v>
      </c>
      <c r="E263" s="39">
        <v>30</v>
      </c>
      <c r="F263" s="37">
        <v>6</v>
      </c>
      <c r="G263" s="37">
        <v>0</v>
      </c>
      <c r="H263" s="38">
        <v>9261977</v>
      </c>
      <c r="I263" s="39">
        <v>9261977</v>
      </c>
      <c r="J263" s="38">
        <v>813300</v>
      </c>
      <c r="K263" s="39">
        <v>10075277</v>
      </c>
      <c r="L263" s="39">
        <v>4030111</v>
      </c>
      <c r="M263" s="39"/>
      <c r="N263" s="39"/>
      <c r="O263" s="39"/>
      <c r="P263" s="38">
        <v>9970598</v>
      </c>
      <c r="Q263" s="39">
        <v>1994120</v>
      </c>
      <c r="R263" s="39">
        <v>0</v>
      </c>
      <c r="S263" s="40"/>
      <c r="T263" s="38">
        <v>0</v>
      </c>
      <c r="U263" s="40"/>
      <c r="V263" s="40">
        <v>450244</v>
      </c>
      <c r="W263" s="42"/>
      <c r="X263" s="40"/>
      <c r="Y263" s="40">
        <v>450244</v>
      </c>
      <c r="Z263" s="42"/>
      <c r="AA263" s="40"/>
      <c r="AB263" s="40"/>
      <c r="AC263" s="40">
        <v>113000</v>
      </c>
      <c r="AD263" s="42"/>
      <c r="AF263">
        <f>VLOOKUP(A263,Devengos!$A$4:$I$389,9,0)</f>
        <v>9898200</v>
      </c>
      <c r="AG263">
        <f t="shared" si="217"/>
        <v>9898200</v>
      </c>
      <c r="AH263">
        <f>IFERROR(VLOOKUP(B263,'Planilla Mes anterior'!$CX:$CY,2,0),0)</f>
        <v>9970598</v>
      </c>
      <c r="AJ263" s="95">
        <v>0</v>
      </c>
    </row>
    <row r="264" spans="1:36" x14ac:dyDescent="0.3">
      <c r="A264" s="81">
        <v>90722227</v>
      </c>
      <c r="B264" s="5">
        <v>1007698927.0000001</v>
      </c>
      <c r="C264" s="36" t="s">
        <v>1982</v>
      </c>
      <c r="D264" s="36" t="s">
        <v>3456</v>
      </c>
      <c r="E264" s="39">
        <v>30</v>
      </c>
      <c r="F264" s="37">
        <v>1</v>
      </c>
      <c r="G264" s="37">
        <v>0</v>
      </c>
      <c r="H264" s="38">
        <v>3558963</v>
      </c>
      <c r="I264" s="39">
        <v>3558963</v>
      </c>
      <c r="J264" s="38">
        <v>700300</v>
      </c>
      <c r="K264" s="39">
        <v>4259263</v>
      </c>
      <c r="L264" s="39">
        <v>1703705</v>
      </c>
      <c r="M264" s="39"/>
      <c r="N264" s="39"/>
      <c r="O264" s="39"/>
      <c r="P264" s="38">
        <v>3681686</v>
      </c>
      <c r="Q264" s="39">
        <v>122723</v>
      </c>
      <c r="R264" s="39">
        <v>0</v>
      </c>
      <c r="S264" s="40"/>
      <c r="T264" s="38">
        <v>0</v>
      </c>
      <c r="U264" s="40"/>
      <c r="V264" s="40">
        <v>147268</v>
      </c>
      <c r="W264" s="42"/>
      <c r="X264" s="40"/>
      <c r="Y264" s="40">
        <v>147268</v>
      </c>
      <c r="Z264" s="42"/>
      <c r="AA264" s="40"/>
      <c r="AB264" s="40"/>
      <c r="AC264" s="40">
        <v>0</v>
      </c>
      <c r="AD264" s="42"/>
      <c r="AF264">
        <f>VLOOKUP(A264,Devengos!$A$4:$I$389,9,0)</f>
        <v>3681686</v>
      </c>
      <c r="AG264">
        <f t="shared" si="217"/>
        <v>3681686</v>
      </c>
      <c r="AH264">
        <f>IFERROR(VLOOKUP(B264,'Planilla Mes anterior'!$CX:$CY,2,0),0)</f>
        <v>3681686</v>
      </c>
      <c r="AJ264" s="95">
        <v>0</v>
      </c>
    </row>
    <row r="265" spans="1:36" x14ac:dyDescent="0.3">
      <c r="A265" s="81">
        <v>90722251</v>
      </c>
      <c r="B265" s="5">
        <v>98634241</v>
      </c>
      <c r="C265" s="36" t="s">
        <v>1986</v>
      </c>
      <c r="D265" s="36" t="s">
        <v>3456</v>
      </c>
      <c r="E265" s="39">
        <v>30</v>
      </c>
      <c r="F265" s="37">
        <v>0</v>
      </c>
      <c r="G265" s="37">
        <v>0</v>
      </c>
      <c r="H265" s="38">
        <v>10976148</v>
      </c>
      <c r="I265" s="39">
        <v>10976148</v>
      </c>
      <c r="J265" s="38">
        <v>810100</v>
      </c>
      <c r="K265" s="39">
        <v>11786248</v>
      </c>
      <c r="L265" s="39">
        <v>4714499</v>
      </c>
      <c r="M265" s="39"/>
      <c r="N265" s="39"/>
      <c r="O265" s="39"/>
      <c r="P265" s="38">
        <v>10976148</v>
      </c>
      <c r="Q265" s="39">
        <v>0</v>
      </c>
      <c r="R265" s="39">
        <v>0</v>
      </c>
      <c r="S265" s="40"/>
      <c r="T265" s="38">
        <v>0</v>
      </c>
      <c r="U265" s="40"/>
      <c r="V265" s="40">
        <v>439046</v>
      </c>
      <c r="W265" s="42"/>
      <c r="X265" s="40"/>
      <c r="Y265" s="40">
        <v>439046</v>
      </c>
      <c r="Z265" s="42"/>
      <c r="AA265" s="40"/>
      <c r="AB265" s="40"/>
      <c r="AC265" s="40">
        <v>109800</v>
      </c>
      <c r="AD265" s="42"/>
      <c r="AF265">
        <f>VLOOKUP(A265,Devengos!$A$4:$I$389,9,0)</f>
        <v>10976148</v>
      </c>
      <c r="AG265">
        <f t="shared" si="217"/>
        <v>10976148</v>
      </c>
      <c r="AH265">
        <f>IFERROR(VLOOKUP(B265,'Planilla Mes anterior'!$CX:$CY,2,0),0)</f>
        <v>10976148</v>
      </c>
      <c r="AJ265" s="95">
        <v>0</v>
      </c>
    </row>
    <row r="266" spans="1:36" x14ac:dyDescent="0.3">
      <c r="A266" s="81">
        <v>90722261</v>
      </c>
      <c r="B266" s="5">
        <v>98695947</v>
      </c>
      <c r="C266" s="36" t="s">
        <v>1991</v>
      </c>
      <c r="D266" s="36" t="s">
        <v>3456</v>
      </c>
      <c r="E266" s="39">
        <v>30</v>
      </c>
      <c r="F266" s="37">
        <v>0</v>
      </c>
      <c r="G266" s="37">
        <v>0</v>
      </c>
      <c r="H266" s="38">
        <v>12769313</v>
      </c>
      <c r="I266" s="39">
        <v>12769313</v>
      </c>
      <c r="J266" s="38">
        <v>828100</v>
      </c>
      <c r="K266" s="39">
        <v>13597413</v>
      </c>
      <c r="L266" s="39">
        <v>5438965</v>
      </c>
      <c r="M266" s="39"/>
      <c r="N266" s="39"/>
      <c r="O266" s="39"/>
      <c r="P266" s="38">
        <v>12769313</v>
      </c>
      <c r="Q266" s="39">
        <v>0</v>
      </c>
      <c r="R266" s="39">
        <v>0</v>
      </c>
      <c r="S266" s="40"/>
      <c r="T266" s="38">
        <v>0</v>
      </c>
      <c r="U266" s="40"/>
      <c r="V266" s="40">
        <v>510773</v>
      </c>
      <c r="W266" s="42"/>
      <c r="X266" s="40"/>
      <c r="Y266" s="40">
        <v>510773</v>
      </c>
      <c r="Z266" s="42"/>
      <c r="AA266" s="40"/>
      <c r="AB266" s="40"/>
      <c r="AC266" s="40">
        <v>127800</v>
      </c>
      <c r="AD266" s="42"/>
      <c r="AF266">
        <f>VLOOKUP(A266,Devengos!$A$4:$I$389,9,0)</f>
        <v>12769313</v>
      </c>
      <c r="AG266">
        <f t="shared" si="217"/>
        <v>12769313</v>
      </c>
      <c r="AH266">
        <f>IFERROR(VLOOKUP(B266,'Planilla Mes anterior'!$CX:$CY,2,0),0)</f>
        <v>12769313</v>
      </c>
      <c r="AJ266" s="95">
        <v>0</v>
      </c>
    </row>
    <row r="267" spans="1:36" x14ac:dyDescent="0.3">
      <c r="A267" s="81">
        <v>90722789</v>
      </c>
      <c r="B267" s="5">
        <v>1032498108.9999999</v>
      </c>
      <c r="C267" s="36" t="s">
        <v>1998</v>
      </c>
      <c r="D267" s="36" t="s">
        <v>3456</v>
      </c>
      <c r="E267" s="39">
        <v>37</v>
      </c>
      <c r="F267" s="37">
        <v>2</v>
      </c>
      <c r="G267" s="37">
        <v>0</v>
      </c>
      <c r="H267" s="38">
        <v>5281984</v>
      </c>
      <c r="I267" s="39">
        <v>5281984</v>
      </c>
      <c r="J267" s="38">
        <v>901329</v>
      </c>
      <c r="K267" s="39">
        <v>6183313</v>
      </c>
      <c r="L267" s="39">
        <v>2473325</v>
      </c>
      <c r="M267" s="39"/>
      <c r="N267" s="39"/>
      <c r="O267" s="39"/>
      <c r="P267" s="38">
        <v>5508876</v>
      </c>
      <c r="Q267" s="39">
        <v>367258</v>
      </c>
      <c r="R267" s="39">
        <v>0</v>
      </c>
      <c r="S267" s="40"/>
      <c r="T267" s="38">
        <v>0</v>
      </c>
      <c r="U267" s="40"/>
      <c r="V267" s="40">
        <v>225969</v>
      </c>
      <c r="W267" s="42"/>
      <c r="X267" s="40"/>
      <c r="Y267" s="40">
        <v>225969</v>
      </c>
      <c r="Z267" s="42"/>
      <c r="AA267" s="40"/>
      <c r="AB267" s="40"/>
      <c r="AC267" s="40">
        <v>0</v>
      </c>
      <c r="AD267" s="42"/>
      <c r="AF267">
        <f>VLOOKUP(A267,Devengos!$A$4:$I$389,9,0)</f>
        <v>4909821</v>
      </c>
      <c r="AG267">
        <f t="shared" si="217"/>
        <v>4909821</v>
      </c>
      <c r="AH267">
        <f>IFERROR(VLOOKUP(B267,'Planilla Mes anterior'!$CX:$CY,2,0),0)</f>
        <v>5508876</v>
      </c>
      <c r="AJ267" s="95">
        <v>0</v>
      </c>
    </row>
    <row r="268" spans="1:36" x14ac:dyDescent="0.3">
      <c r="A268" s="81">
        <v>90722803</v>
      </c>
      <c r="B268" s="5">
        <v>1073505511.0000001</v>
      </c>
      <c r="C268" s="36" t="s">
        <v>2001</v>
      </c>
      <c r="D268" s="36" t="s">
        <v>3456</v>
      </c>
      <c r="E268" s="39">
        <v>30</v>
      </c>
      <c r="F268" s="37">
        <v>0</v>
      </c>
      <c r="G268" s="37">
        <v>0</v>
      </c>
      <c r="H268" s="38">
        <v>4431252</v>
      </c>
      <c r="I268" s="39">
        <v>4431252</v>
      </c>
      <c r="J268" s="38">
        <v>700300</v>
      </c>
      <c r="K268" s="39">
        <v>5131552</v>
      </c>
      <c r="L268" s="39">
        <v>2052621</v>
      </c>
      <c r="M268" s="39"/>
      <c r="N268" s="39"/>
      <c r="O268" s="39"/>
      <c r="P268" s="38">
        <v>4431252</v>
      </c>
      <c r="Q268" s="39">
        <v>0</v>
      </c>
      <c r="R268" s="39">
        <v>0</v>
      </c>
      <c r="S268" s="40"/>
      <c r="T268" s="38">
        <v>0</v>
      </c>
      <c r="U268" s="40"/>
      <c r="V268" s="40">
        <v>177250</v>
      </c>
      <c r="W268" s="42"/>
      <c r="X268" s="40"/>
      <c r="Y268" s="40">
        <v>177250</v>
      </c>
      <c r="Z268" s="42"/>
      <c r="AA268" s="40"/>
      <c r="AB268" s="40"/>
      <c r="AC268" s="40">
        <v>0</v>
      </c>
      <c r="AD268" s="42"/>
      <c r="AF268">
        <f>VLOOKUP(A268,Devengos!$A$4:$I$389,9,0)</f>
        <v>4431252</v>
      </c>
      <c r="AG268">
        <f t="shared" si="217"/>
        <v>4431252</v>
      </c>
      <c r="AH268">
        <f>IFERROR(VLOOKUP(B268,'Planilla Mes anterior'!$CX:$CY,2,0),0)</f>
        <v>4431252</v>
      </c>
      <c r="AJ268" s="95">
        <v>0</v>
      </c>
    </row>
    <row r="269" spans="1:36" x14ac:dyDescent="0.3">
      <c r="A269" s="81">
        <v>90722807</v>
      </c>
      <c r="B269" s="5">
        <v>1096219004</v>
      </c>
      <c r="C269" s="36" t="s">
        <v>2005</v>
      </c>
      <c r="D269" s="36" t="s">
        <v>3456</v>
      </c>
      <c r="E269" s="39">
        <v>30</v>
      </c>
      <c r="F269" s="37">
        <v>0</v>
      </c>
      <c r="G269" s="37">
        <v>0</v>
      </c>
      <c r="H269" s="38">
        <v>8506688</v>
      </c>
      <c r="I269" s="39">
        <v>8506688</v>
      </c>
      <c r="J269" s="38">
        <v>785500</v>
      </c>
      <c r="K269" s="39">
        <v>9292188</v>
      </c>
      <c r="L269" s="39">
        <v>3716875</v>
      </c>
      <c r="M269" s="39"/>
      <c r="N269" s="39"/>
      <c r="O269" s="39"/>
      <c r="P269" s="38">
        <v>8506688</v>
      </c>
      <c r="Q269" s="39">
        <v>0</v>
      </c>
      <c r="R269" s="39">
        <v>0</v>
      </c>
      <c r="S269" s="40"/>
      <c r="T269" s="38">
        <v>0</v>
      </c>
      <c r="U269" s="40"/>
      <c r="V269" s="40">
        <v>340268</v>
      </c>
      <c r="W269" s="42"/>
      <c r="X269" s="40"/>
      <c r="Y269" s="40">
        <v>340268</v>
      </c>
      <c r="Z269" s="42"/>
      <c r="AA269" s="40"/>
      <c r="AB269" s="40"/>
      <c r="AC269" s="40">
        <v>85200</v>
      </c>
      <c r="AD269" s="42"/>
      <c r="AF269">
        <f>VLOOKUP(A269,Devengos!$A$4:$I$389,9,0)</f>
        <v>8506688</v>
      </c>
      <c r="AG269">
        <f t="shared" si="217"/>
        <v>8506688</v>
      </c>
      <c r="AH269">
        <f>IFERROR(VLOOKUP(B269,'Planilla Mes anterior'!$CX:$CY,2,0),0)</f>
        <v>8506688</v>
      </c>
      <c r="AJ269" s="95">
        <v>0</v>
      </c>
    </row>
    <row r="270" spans="1:36" x14ac:dyDescent="0.3">
      <c r="A270" s="81">
        <v>90723868</v>
      </c>
      <c r="B270" s="5">
        <v>1026253551.0000001</v>
      </c>
      <c r="C270" s="36" t="s">
        <v>2007</v>
      </c>
      <c r="D270" s="36" t="s">
        <v>3456</v>
      </c>
      <c r="E270" s="39">
        <v>30</v>
      </c>
      <c r="F270" s="37">
        <v>0</v>
      </c>
      <c r="G270" s="37">
        <v>0</v>
      </c>
      <c r="H270" s="38">
        <v>5304915</v>
      </c>
      <c r="I270" s="39">
        <v>5304915</v>
      </c>
      <c r="J270" s="38">
        <v>700300</v>
      </c>
      <c r="K270" s="39">
        <v>6005215</v>
      </c>
      <c r="L270" s="39">
        <v>2402086</v>
      </c>
      <c r="M270" s="39"/>
      <c r="N270" s="39"/>
      <c r="O270" s="39"/>
      <c r="P270" s="38">
        <v>5304915</v>
      </c>
      <c r="Q270" s="39">
        <v>0</v>
      </c>
      <c r="R270" s="39">
        <v>0</v>
      </c>
      <c r="S270" s="40"/>
      <c r="T270" s="38">
        <v>0</v>
      </c>
      <c r="U270" s="40"/>
      <c r="V270" s="40">
        <v>212197</v>
      </c>
      <c r="W270" s="42"/>
      <c r="X270" s="40"/>
      <c r="Y270" s="40">
        <v>212197</v>
      </c>
      <c r="Z270" s="42"/>
      <c r="AA270" s="40"/>
      <c r="AB270" s="40"/>
      <c r="AC270" s="40">
        <v>0</v>
      </c>
      <c r="AD270" s="42"/>
      <c r="AF270">
        <f>VLOOKUP(A270,Devengos!$A$4:$I$389,9,0)</f>
        <v>5304915</v>
      </c>
      <c r="AG270">
        <f t="shared" si="217"/>
        <v>5304915</v>
      </c>
      <c r="AH270">
        <f>IFERROR(VLOOKUP(B270,'Planilla Mes anterior'!$CX:$CY,2,0),0)</f>
        <v>5304915</v>
      </c>
      <c r="AJ270" s="95">
        <v>0</v>
      </c>
    </row>
    <row r="271" spans="1:36" x14ac:dyDescent="0.3">
      <c r="A271" s="81">
        <v>90723869</v>
      </c>
      <c r="B271" s="5">
        <v>1024602448.9999999</v>
      </c>
      <c r="C271" s="36" t="s">
        <v>2011</v>
      </c>
      <c r="D271" s="36" t="s">
        <v>3456</v>
      </c>
      <c r="E271" s="39">
        <v>30</v>
      </c>
      <c r="F271" s="37">
        <v>0</v>
      </c>
      <c r="G271" s="37">
        <v>0</v>
      </c>
      <c r="H271" s="38">
        <v>4242573</v>
      </c>
      <c r="I271" s="39">
        <v>4242573</v>
      </c>
      <c r="J271" s="38">
        <v>700300</v>
      </c>
      <c r="K271" s="39">
        <v>4942873</v>
      </c>
      <c r="L271" s="39">
        <v>1977149</v>
      </c>
      <c r="M271" s="39"/>
      <c r="N271" s="39"/>
      <c r="O271" s="39"/>
      <c r="P271" s="38">
        <v>5611566</v>
      </c>
      <c r="Q271" s="39">
        <v>0</v>
      </c>
      <c r="R271" s="39">
        <v>0</v>
      </c>
      <c r="S271" s="40"/>
      <c r="T271" s="38">
        <v>0</v>
      </c>
      <c r="U271" s="40"/>
      <c r="V271" s="40">
        <v>169703</v>
      </c>
      <c r="W271" s="42"/>
      <c r="X271" s="40"/>
      <c r="Y271" s="40">
        <v>169703</v>
      </c>
      <c r="Z271" s="42"/>
      <c r="AA271" s="40"/>
      <c r="AB271" s="40"/>
      <c r="AC271" s="40">
        <v>0</v>
      </c>
      <c r="AD271" s="42"/>
      <c r="AF271">
        <f>VLOOKUP(A271,Devengos!$A$4:$I$389,9,0)</f>
        <v>4447800</v>
      </c>
      <c r="AG271">
        <f t="shared" si="217"/>
        <v>4447800</v>
      </c>
      <c r="AH271">
        <f>IFERROR(VLOOKUP(B271,'Planilla Mes anterior'!$CX:$CY,2,0),0)</f>
        <v>5611566</v>
      </c>
      <c r="AJ271" s="95">
        <v>0</v>
      </c>
    </row>
    <row r="272" spans="1:36" x14ac:dyDescent="0.3">
      <c r="A272" s="81">
        <v>90723871</v>
      </c>
      <c r="B272" s="5">
        <v>1022339824</v>
      </c>
      <c r="C272" s="36" t="s">
        <v>2015</v>
      </c>
      <c r="D272" s="36" t="s">
        <v>3456</v>
      </c>
      <c r="E272" s="39">
        <v>30</v>
      </c>
      <c r="F272" s="37">
        <v>0</v>
      </c>
      <c r="G272" s="37">
        <v>0</v>
      </c>
      <c r="H272" s="38">
        <v>2488826</v>
      </c>
      <c r="I272" s="39">
        <v>2488826</v>
      </c>
      <c r="J272" s="38">
        <v>525200</v>
      </c>
      <c r="K272" s="39">
        <v>3014026</v>
      </c>
      <c r="L272" s="39">
        <v>1205610</v>
      </c>
      <c r="M272" s="39"/>
      <c r="N272" s="39"/>
      <c r="O272" s="39"/>
      <c r="P272" s="38">
        <v>2488826</v>
      </c>
      <c r="Q272" s="39">
        <v>0</v>
      </c>
      <c r="R272" s="39">
        <v>0</v>
      </c>
      <c r="S272" s="40"/>
      <c r="T272" s="38">
        <v>0</v>
      </c>
      <c r="U272" s="40"/>
      <c r="V272" s="40">
        <v>99553</v>
      </c>
      <c r="W272" s="42"/>
      <c r="X272" s="40"/>
      <c r="Y272" s="40">
        <v>99553</v>
      </c>
      <c r="Z272" s="42"/>
      <c r="AA272" s="40"/>
      <c r="AB272" s="40"/>
      <c r="AC272" s="40">
        <v>0</v>
      </c>
      <c r="AD272" s="42"/>
      <c r="AF272">
        <f>VLOOKUP(A272,Devengos!$A$4:$I$389,9,0)</f>
        <v>2488826</v>
      </c>
      <c r="AG272">
        <f t="shared" si="217"/>
        <v>2488826</v>
      </c>
      <c r="AH272">
        <f>IFERROR(VLOOKUP(B272,'Planilla Mes anterior'!$CX:$CY,2,0),0)</f>
        <v>2488826</v>
      </c>
      <c r="AJ272" s="95">
        <v>0</v>
      </c>
    </row>
    <row r="273" spans="1:36" x14ac:dyDescent="0.3">
      <c r="A273" s="81">
        <v>90723890</v>
      </c>
      <c r="B273" s="5">
        <v>1007222788.9999999</v>
      </c>
      <c r="C273" s="36" t="s">
        <v>2020</v>
      </c>
      <c r="D273" s="36" t="s">
        <v>3456</v>
      </c>
      <c r="E273" s="39">
        <v>30</v>
      </c>
      <c r="F273" s="37">
        <v>0</v>
      </c>
      <c r="G273" s="37">
        <v>0</v>
      </c>
      <c r="H273" s="38">
        <v>5769237</v>
      </c>
      <c r="I273" s="39">
        <v>5769237</v>
      </c>
      <c r="J273" s="38">
        <v>700300</v>
      </c>
      <c r="K273" s="39">
        <v>6469537</v>
      </c>
      <c r="L273" s="39">
        <v>2587815</v>
      </c>
      <c r="M273" s="39"/>
      <c r="N273" s="39"/>
      <c r="O273" s="39"/>
      <c r="P273" s="38">
        <v>5000650</v>
      </c>
      <c r="Q273" s="39">
        <v>0</v>
      </c>
      <c r="R273" s="39">
        <v>0</v>
      </c>
      <c r="S273" s="40"/>
      <c r="T273" s="38">
        <v>0</v>
      </c>
      <c r="U273" s="40"/>
      <c r="V273" s="40">
        <v>230769</v>
      </c>
      <c r="W273" s="42"/>
      <c r="X273" s="40"/>
      <c r="Y273" s="40">
        <v>230769</v>
      </c>
      <c r="Z273" s="42"/>
      <c r="AA273" s="40"/>
      <c r="AB273" s="40"/>
      <c r="AC273" s="40">
        <v>0</v>
      </c>
      <c r="AD273" s="42"/>
      <c r="AF273">
        <f>VLOOKUP(A273,Devengos!$A$4:$I$389,9,0)</f>
        <v>4857143</v>
      </c>
      <c r="AG273">
        <f t="shared" si="217"/>
        <v>4857143</v>
      </c>
      <c r="AH273">
        <f>IFERROR(VLOOKUP(B273,'Planilla Mes anterior'!$CX:$CY,2,0),0)</f>
        <v>5000650</v>
      </c>
      <c r="AJ273" s="95">
        <v>0</v>
      </c>
    </row>
    <row r="274" spans="1:36" x14ac:dyDescent="0.3">
      <c r="A274" s="81">
        <v>90724400</v>
      </c>
      <c r="B274" s="5">
        <v>1001367947.0000001</v>
      </c>
      <c r="C274" s="36" t="s">
        <v>3146</v>
      </c>
      <c r="D274" s="36" t="s">
        <v>3456</v>
      </c>
      <c r="E274" s="39">
        <v>30</v>
      </c>
      <c r="F274" s="37">
        <v>0</v>
      </c>
      <c r="G274" s="37">
        <v>0</v>
      </c>
      <c r="H274" s="38">
        <v>5538500</v>
      </c>
      <c r="I274" s="39">
        <v>5538500</v>
      </c>
      <c r="J274" s="38">
        <v>700300</v>
      </c>
      <c r="K274" s="39">
        <v>6238800</v>
      </c>
      <c r="L274" s="39">
        <v>2495520</v>
      </c>
      <c r="M274" s="39"/>
      <c r="N274" s="39"/>
      <c r="O274" s="39"/>
      <c r="P274" s="38">
        <v>5538500</v>
      </c>
      <c r="Q274" s="39">
        <v>0</v>
      </c>
      <c r="R274" s="39">
        <v>0</v>
      </c>
      <c r="S274" s="40"/>
      <c r="T274" s="38">
        <v>0</v>
      </c>
      <c r="U274" s="40"/>
      <c r="V274" s="40">
        <v>221540</v>
      </c>
      <c r="W274" s="42"/>
      <c r="X274" s="40"/>
      <c r="Y274" s="40">
        <v>221540</v>
      </c>
      <c r="Z274" s="42"/>
      <c r="AA274" s="40"/>
      <c r="AB274" s="40"/>
      <c r="AC274" s="40">
        <v>0</v>
      </c>
      <c r="AD274" s="42"/>
      <c r="AF274">
        <f>VLOOKUP(A274,Devengos!$A$4:$I$389,9,0)</f>
        <v>5538500</v>
      </c>
      <c r="AG274">
        <f t="shared" si="217"/>
        <v>5538500</v>
      </c>
      <c r="AH274">
        <f>IFERROR(VLOOKUP(B274,'Planilla Mes anterior'!$CX:$CY,2,0),0)</f>
        <v>5538500</v>
      </c>
      <c r="AJ274" s="95">
        <v>0</v>
      </c>
    </row>
    <row r="275" spans="1:36" x14ac:dyDescent="0.3">
      <c r="A275" s="81">
        <v>90724401</v>
      </c>
      <c r="B275" s="5">
        <v>1000566479.0000001</v>
      </c>
      <c r="C275" s="36" t="s">
        <v>3147</v>
      </c>
      <c r="D275" s="36" t="s">
        <v>3456</v>
      </c>
      <c r="E275" s="39">
        <v>30</v>
      </c>
      <c r="F275" s="37">
        <v>0</v>
      </c>
      <c r="G275" s="37">
        <v>0</v>
      </c>
      <c r="H275" s="38">
        <v>5170000</v>
      </c>
      <c r="I275" s="39">
        <v>5170000</v>
      </c>
      <c r="J275" s="38">
        <v>700300</v>
      </c>
      <c r="K275" s="39">
        <v>5870300</v>
      </c>
      <c r="L275" s="39">
        <v>2348120</v>
      </c>
      <c r="M275" s="39"/>
      <c r="N275" s="39"/>
      <c r="O275" s="39"/>
      <c r="P275" s="38">
        <v>5170000</v>
      </c>
      <c r="Q275" s="39">
        <v>0</v>
      </c>
      <c r="R275" s="39">
        <v>0</v>
      </c>
      <c r="S275" s="40"/>
      <c r="T275" s="38">
        <v>0</v>
      </c>
      <c r="U275" s="40"/>
      <c r="V275" s="40">
        <v>206800</v>
      </c>
      <c r="W275" s="42"/>
      <c r="X275" s="40"/>
      <c r="Y275" s="40">
        <v>206800</v>
      </c>
      <c r="Z275" s="42"/>
      <c r="AA275" s="40"/>
      <c r="AB275" s="40"/>
      <c r="AC275" s="40">
        <v>0</v>
      </c>
      <c r="AD275" s="42"/>
      <c r="AF275">
        <f>VLOOKUP(A275,Devengos!$A$4:$I$389,9,0)</f>
        <v>5170000</v>
      </c>
      <c r="AG275">
        <f t="shared" si="217"/>
        <v>5170000</v>
      </c>
      <c r="AH275">
        <f>IFERROR(VLOOKUP(B275,'Planilla Mes anterior'!$CX:$CY,2,0),0)</f>
        <v>5170000</v>
      </c>
      <c r="AJ275" s="95">
        <v>0</v>
      </c>
    </row>
    <row r="276" spans="1:36" x14ac:dyDescent="0.3">
      <c r="A276" s="81">
        <v>90724402</v>
      </c>
      <c r="B276" s="5">
        <v>1002566068</v>
      </c>
      <c r="C276" s="36" t="s">
        <v>3148</v>
      </c>
      <c r="D276" s="36" t="s">
        <v>3456</v>
      </c>
      <c r="E276" s="39">
        <v>30</v>
      </c>
      <c r="F276" s="37">
        <v>0</v>
      </c>
      <c r="G276" s="37">
        <v>0</v>
      </c>
      <c r="H276" s="38">
        <v>4062200</v>
      </c>
      <c r="I276" s="39">
        <v>4062200</v>
      </c>
      <c r="J276" s="38">
        <v>700300</v>
      </c>
      <c r="K276" s="39">
        <v>4762500</v>
      </c>
      <c r="L276" s="39">
        <v>1905000</v>
      </c>
      <c r="M276" s="39"/>
      <c r="N276" s="39"/>
      <c r="O276" s="39"/>
      <c r="P276" s="38">
        <v>4062200</v>
      </c>
      <c r="Q276" s="39">
        <v>0</v>
      </c>
      <c r="R276" s="39">
        <v>0</v>
      </c>
      <c r="S276" s="40"/>
      <c r="T276" s="38">
        <v>0</v>
      </c>
      <c r="U276" s="40"/>
      <c r="V276" s="40">
        <v>162488</v>
      </c>
      <c r="W276" s="42"/>
      <c r="X276" s="40"/>
      <c r="Y276" s="40">
        <v>162488</v>
      </c>
      <c r="Z276" s="42"/>
      <c r="AA276" s="40"/>
      <c r="AB276" s="40"/>
      <c r="AC276" s="40">
        <v>0</v>
      </c>
      <c r="AD276" s="42"/>
      <c r="AF276">
        <f>VLOOKUP(A276,Devengos!$A$4:$I$389,9,0)</f>
        <v>4062200</v>
      </c>
      <c r="AG276">
        <f t="shared" si="217"/>
        <v>4062200</v>
      </c>
      <c r="AH276">
        <f>IFERROR(VLOOKUP(B276,'Planilla Mes anterior'!$CX:$CY,2,0),0)</f>
        <v>4062200</v>
      </c>
      <c r="AJ276" s="95">
        <v>0</v>
      </c>
    </row>
    <row r="277" spans="1:36" x14ac:dyDescent="0.3">
      <c r="A277" s="81">
        <v>90724403</v>
      </c>
      <c r="B277" s="5">
        <v>1000654687.0000001</v>
      </c>
      <c r="C277" s="36" t="s">
        <v>3150</v>
      </c>
      <c r="D277" s="36" t="s">
        <v>3456</v>
      </c>
      <c r="E277" s="39">
        <v>30</v>
      </c>
      <c r="F277" s="37">
        <v>0</v>
      </c>
      <c r="G277" s="37">
        <v>0</v>
      </c>
      <c r="H277" s="38">
        <v>5076000</v>
      </c>
      <c r="I277" s="39">
        <v>5076000</v>
      </c>
      <c r="J277" s="38">
        <v>700300</v>
      </c>
      <c r="K277" s="39">
        <v>5776300</v>
      </c>
      <c r="L277" s="39">
        <v>2310520</v>
      </c>
      <c r="M277" s="39"/>
      <c r="N277" s="39"/>
      <c r="O277" s="39"/>
      <c r="P277" s="38">
        <v>5076000</v>
      </c>
      <c r="Q277" s="39">
        <v>0</v>
      </c>
      <c r="R277" s="39">
        <v>0</v>
      </c>
      <c r="S277" s="40"/>
      <c r="T277" s="38">
        <v>0</v>
      </c>
      <c r="U277" s="40"/>
      <c r="V277" s="40">
        <v>203040</v>
      </c>
      <c r="W277" s="42"/>
      <c r="X277" s="40"/>
      <c r="Y277" s="40">
        <v>203040</v>
      </c>
      <c r="Z277" s="42"/>
      <c r="AA277" s="40"/>
      <c r="AB277" s="40"/>
      <c r="AC277" s="40">
        <v>0</v>
      </c>
      <c r="AD277" s="42"/>
      <c r="AF277">
        <f>VLOOKUP(A277,Devengos!$A$4:$I$389,9,0)</f>
        <v>5076000</v>
      </c>
      <c r="AG277">
        <f t="shared" si="217"/>
        <v>5076000</v>
      </c>
      <c r="AH277">
        <f>IFERROR(VLOOKUP(B277,'Planilla Mes anterior'!$CX:$CY,2,0),0)</f>
        <v>5076000</v>
      </c>
      <c r="AJ277" s="95">
        <v>0</v>
      </c>
    </row>
    <row r="278" spans="1:36" x14ac:dyDescent="0.3">
      <c r="A278" s="81">
        <v>90724680</v>
      </c>
      <c r="B278" s="5">
        <v>1020798280.9999999</v>
      </c>
      <c r="C278" s="36" t="s">
        <v>2025</v>
      </c>
      <c r="D278" s="36" t="s">
        <v>3456</v>
      </c>
      <c r="E278" s="39">
        <v>30</v>
      </c>
      <c r="F278" s="37">
        <v>0</v>
      </c>
      <c r="G278" s="37">
        <v>0</v>
      </c>
      <c r="H278" s="38">
        <v>10155330</v>
      </c>
      <c r="I278" s="39">
        <v>10155330</v>
      </c>
      <c r="J278" s="38">
        <v>801900</v>
      </c>
      <c r="K278" s="39">
        <v>10957230</v>
      </c>
      <c r="L278" s="39">
        <v>4382892</v>
      </c>
      <c r="M278" s="39"/>
      <c r="N278" s="39"/>
      <c r="O278" s="39"/>
      <c r="P278" s="38">
        <v>10155330</v>
      </c>
      <c r="Q278" s="39">
        <v>0</v>
      </c>
      <c r="R278" s="39">
        <v>0</v>
      </c>
      <c r="S278" s="40"/>
      <c r="T278" s="38">
        <v>0</v>
      </c>
      <c r="U278" s="40"/>
      <c r="V278" s="40">
        <v>406213</v>
      </c>
      <c r="W278" s="42"/>
      <c r="X278" s="40"/>
      <c r="Y278" s="40">
        <v>406213</v>
      </c>
      <c r="Z278" s="42"/>
      <c r="AA278" s="40"/>
      <c r="AB278" s="40"/>
      <c r="AC278" s="40">
        <v>101600</v>
      </c>
      <c r="AD278" s="42"/>
      <c r="AF278">
        <f>VLOOKUP(A278,Devengos!$A$4:$I$389,9,0)</f>
        <v>10155330</v>
      </c>
      <c r="AG278">
        <f t="shared" si="217"/>
        <v>10155330</v>
      </c>
      <c r="AH278">
        <f>IFERROR(VLOOKUP(B278,'Planilla Mes anterior'!$CX:$CY,2,0),0)</f>
        <v>10155330</v>
      </c>
      <c r="AJ278" s="95">
        <v>0</v>
      </c>
    </row>
    <row r="279" spans="1:36" x14ac:dyDescent="0.3">
      <c r="A279" s="81">
        <v>90724959</v>
      </c>
      <c r="B279" s="5">
        <v>1037654275.0000001</v>
      </c>
      <c r="C279" s="36" t="s">
        <v>2029</v>
      </c>
      <c r="D279" s="36" t="s">
        <v>3456</v>
      </c>
      <c r="E279" s="39">
        <v>30</v>
      </c>
      <c r="F279" s="37">
        <v>0</v>
      </c>
      <c r="G279" s="37">
        <v>0</v>
      </c>
      <c r="H279" s="38">
        <v>9898200</v>
      </c>
      <c r="I279" s="39">
        <v>9898200</v>
      </c>
      <c r="J279" s="38">
        <v>799300</v>
      </c>
      <c r="K279" s="39">
        <v>10697500</v>
      </c>
      <c r="L279" s="39">
        <v>4279000</v>
      </c>
      <c r="M279" s="39"/>
      <c r="N279" s="39"/>
      <c r="O279" s="39"/>
      <c r="P279" s="38">
        <v>9898200</v>
      </c>
      <c r="Q279" s="39">
        <v>0</v>
      </c>
      <c r="R279" s="39">
        <v>0</v>
      </c>
      <c r="S279" s="40"/>
      <c r="T279" s="38">
        <v>0</v>
      </c>
      <c r="U279" s="40"/>
      <c r="V279" s="40">
        <v>395928</v>
      </c>
      <c r="W279" s="42"/>
      <c r="X279" s="40"/>
      <c r="Y279" s="40">
        <v>395928</v>
      </c>
      <c r="Z279" s="42"/>
      <c r="AA279" s="40"/>
      <c r="AB279" s="40"/>
      <c r="AC279" s="40">
        <v>99000</v>
      </c>
      <c r="AD279" s="42"/>
      <c r="AF279">
        <f>VLOOKUP(A279,Devengos!$A$4:$I$389,9,0)</f>
        <v>9898200</v>
      </c>
      <c r="AG279">
        <f t="shared" si="217"/>
        <v>9898200</v>
      </c>
      <c r="AH279">
        <f>IFERROR(VLOOKUP(B279,'Planilla Mes anterior'!$CX:$CY,2,0),0)</f>
        <v>9898200</v>
      </c>
      <c r="AJ279" s="95">
        <v>0</v>
      </c>
    </row>
    <row r="280" spans="1:36" x14ac:dyDescent="0.3">
      <c r="A280" s="81">
        <v>90725025</v>
      </c>
      <c r="B280" s="5">
        <v>10141032</v>
      </c>
      <c r="C280" s="36" t="s">
        <v>2039</v>
      </c>
      <c r="D280" s="36" t="s">
        <v>3456</v>
      </c>
      <c r="E280" s="39">
        <v>30</v>
      </c>
      <c r="F280" s="37">
        <v>0</v>
      </c>
      <c r="G280" s="37">
        <v>0</v>
      </c>
      <c r="H280" s="38">
        <v>11344358</v>
      </c>
      <c r="I280" s="39">
        <v>11344358</v>
      </c>
      <c r="J280" s="38">
        <v>813900</v>
      </c>
      <c r="K280" s="39">
        <v>12158258</v>
      </c>
      <c r="L280" s="39">
        <v>4863303</v>
      </c>
      <c r="M280" s="39"/>
      <c r="N280" s="39"/>
      <c r="O280" s="39"/>
      <c r="P280" s="38">
        <v>11344358</v>
      </c>
      <c r="Q280" s="39">
        <v>0</v>
      </c>
      <c r="R280" s="39">
        <v>0</v>
      </c>
      <c r="S280" s="40"/>
      <c r="T280" s="38">
        <v>0</v>
      </c>
      <c r="U280" s="40"/>
      <c r="V280" s="40">
        <v>453774</v>
      </c>
      <c r="W280" s="42"/>
      <c r="X280" s="40"/>
      <c r="Y280" s="40">
        <v>453774</v>
      </c>
      <c r="Z280" s="42"/>
      <c r="AA280" s="40"/>
      <c r="AB280" s="40"/>
      <c r="AC280" s="40">
        <v>113600</v>
      </c>
      <c r="AD280" s="42"/>
      <c r="AF280">
        <f>VLOOKUP(A280,Devengos!$A$4:$I$389,9,0)</f>
        <v>11344358</v>
      </c>
      <c r="AG280">
        <f t="shared" si="217"/>
        <v>11344358</v>
      </c>
      <c r="AH280">
        <f>IFERROR(VLOOKUP(B280,'Planilla Mes anterior'!$CX:$CY,2,0),0)</f>
        <v>11344358</v>
      </c>
      <c r="AJ280" s="95">
        <v>0</v>
      </c>
    </row>
    <row r="281" spans="1:36" x14ac:dyDescent="0.3">
      <c r="A281" s="81">
        <v>90725062</v>
      </c>
      <c r="B281" s="5">
        <v>1072668834</v>
      </c>
      <c r="C281" s="36" t="s">
        <v>2046</v>
      </c>
      <c r="D281" s="36" t="s">
        <v>3456</v>
      </c>
      <c r="E281" s="39">
        <v>30</v>
      </c>
      <c r="F281" s="37">
        <v>3</v>
      </c>
      <c r="G281" s="37">
        <v>0</v>
      </c>
      <c r="H281" s="38">
        <v>11451783</v>
      </c>
      <c r="I281" s="39">
        <v>11451783</v>
      </c>
      <c r="J281" s="38">
        <v>827700</v>
      </c>
      <c r="K281" s="39">
        <v>12279483</v>
      </c>
      <c r="L281" s="39">
        <v>4911793</v>
      </c>
      <c r="M281" s="39"/>
      <c r="N281" s="39"/>
      <c r="O281" s="39"/>
      <c r="P281" s="38">
        <v>12724203</v>
      </c>
      <c r="Q281" s="39">
        <v>1272420</v>
      </c>
      <c r="R281" s="39">
        <v>0</v>
      </c>
      <c r="S281" s="40"/>
      <c r="T281" s="38">
        <v>0</v>
      </c>
      <c r="U281" s="40"/>
      <c r="V281" s="40">
        <v>508968</v>
      </c>
      <c r="W281" s="42"/>
      <c r="X281" s="40"/>
      <c r="Y281" s="40">
        <v>508968</v>
      </c>
      <c r="Z281" s="42"/>
      <c r="AA281" s="40"/>
      <c r="AB281" s="40"/>
      <c r="AC281" s="40">
        <v>127400</v>
      </c>
      <c r="AD281" s="42"/>
      <c r="AF281">
        <f>VLOOKUP(A281,Devengos!$A$4:$I$389,9,0)</f>
        <v>12724203</v>
      </c>
      <c r="AG281">
        <f t="shared" si="217"/>
        <v>12724203</v>
      </c>
      <c r="AH281">
        <f>IFERROR(VLOOKUP(B281,'Planilla Mes anterior'!$CX:$CY,2,0),0)</f>
        <v>12724203</v>
      </c>
      <c r="AJ281" s="95">
        <v>0</v>
      </c>
    </row>
    <row r="282" spans="1:36" x14ac:dyDescent="0.3">
      <c r="A282" s="81">
        <v>90725076</v>
      </c>
      <c r="B282" s="5">
        <v>1152715422</v>
      </c>
      <c r="C282" s="36" t="s">
        <v>2050</v>
      </c>
      <c r="D282" s="36" t="s">
        <v>3456</v>
      </c>
      <c r="E282" s="39">
        <v>30</v>
      </c>
      <c r="F282" s="37">
        <v>0</v>
      </c>
      <c r="G282" s="37">
        <v>0</v>
      </c>
      <c r="H282" s="38">
        <v>8546655</v>
      </c>
      <c r="I282" s="39">
        <v>8546655</v>
      </c>
      <c r="J282" s="38">
        <v>785900</v>
      </c>
      <c r="K282" s="39">
        <v>9332555</v>
      </c>
      <c r="L282" s="39">
        <v>3733022</v>
      </c>
      <c r="M282" s="39"/>
      <c r="N282" s="39"/>
      <c r="O282" s="39"/>
      <c r="P282" s="38">
        <v>8557888</v>
      </c>
      <c r="Q282" s="39">
        <v>0</v>
      </c>
      <c r="R282" s="39">
        <v>0</v>
      </c>
      <c r="S282" s="40"/>
      <c r="T282" s="38">
        <v>0</v>
      </c>
      <c r="U282" s="40"/>
      <c r="V282" s="40">
        <v>341866</v>
      </c>
      <c r="W282" s="42"/>
      <c r="X282" s="40"/>
      <c r="Y282" s="40">
        <v>341866</v>
      </c>
      <c r="Z282" s="42"/>
      <c r="AA282" s="40"/>
      <c r="AB282" s="40"/>
      <c r="AC282" s="40">
        <v>85600</v>
      </c>
      <c r="AD282" s="42"/>
      <c r="AF282">
        <f>VLOOKUP(A282,Devengos!$A$4:$I$389,9,0)</f>
        <v>8546655</v>
      </c>
      <c r="AG282">
        <f t="shared" si="217"/>
        <v>8546655</v>
      </c>
      <c r="AH282">
        <f>IFERROR(VLOOKUP(B282,'Planilla Mes anterior'!$CX:$CY,2,0),0)</f>
        <v>8557888</v>
      </c>
      <c r="AJ282" s="95">
        <v>0</v>
      </c>
    </row>
    <row r="283" spans="1:36" x14ac:dyDescent="0.3">
      <c r="A283" s="81">
        <v>90725766</v>
      </c>
      <c r="B283" s="5">
        <v>1022366578</v>
      </c>
      <c r="C283" s="36" t="s">
        <v>2054</v>
      </c>
      <c r="D283" s="36" t="s">
        <v>3456</v>
      </c>
      <c r="E283" s="39">
        <v>30</v>
      </c>
      <c r="F283" s="37">
        <v>0</v>
      </c>
      <c r="G283" s="37">
        <v>0</v>
      </c>
      <c r="H283" s="38">
        <v>8100026</v>
      </c>
      <c r="I283" s="39">
        <v>8100026</v>
      </c>
      <c r="J283" s="38">
        <v>781500</v>
      </c>
      <c r="K283" s="39">
        <v>8881526</v>
      </c>
      <c r="L283" s="39">
        <v>3552610</v>
      </c>
      <c r="M283" s="39"/>
      <c r="N283" s="39"/>
      <c r="O283" s="39"/>
      <c r="P283" s="38">
        <v>8100026</v>
      </c>
      <c r="Q283" s="39">
        <v>0</v>
      </c>
      <c r="R283" s="39">
        <v>0</v>
      </c>
      <c r="S283" s="40"/>
      <c r="T283" s="38">
        <v>0</v>
      </c>
      <c r="U283" s="40"/>
      <c r="V283" s="40">
        <v>324001</v>
      </c>
      <c r="W283" s="42"/>
      <c r="X283" s="40"/>
      <c r="Y283" s="40">
        <v>324001</v>
      </c>
      <c r="Z283" s="42"/>
      <c r="AA283" s="40"/>
      <c r="AB283" s="40"/>
      <c r="AC283" s="40">
        <v>81200</v>
      </c>
      <c r="AD283" s="42"/>
      <c r="AF283">
        <f>VLOOKUP(A283,Devengos!$A$4:$I$389,9,0)</f>
        <v>8100026</v>
      </c>
      <c r="AG283">
        <f t="shared" si="217"/>
        <v>8100026</v>
      </c>
      <c r="AH283">
        <f>IFERROR(VLOOKUP(B283,'Planilla Mes anterior'!$CX:$CY,2,0),0)</f>
        <v>8100026</v>
      </c>
      <c r="AJ283" s="95">
        <v>0</v>
      </c>
    </row>
    <row r="284" spans="1:36" x14ac:dyDescent="0.3">
      <c r="A284" s="81">
        <v>90725768</v>
      </c>
      <c r="B284" s="5">
        <v>1007665484</v>
      </c>
      <c r="C284" s="36" t="s">
        <v>2058</v>
      </c>
      <c r="D284" s="36" t="s">
        <v>3456</v>
      </c>
      <c r="E284" s="39">
        <v>30</v>
      </c>
      <c r="F284" s="37">
        <v>0</v>
      </c>
      <c r="G284" s="37">
        <v>0</v>
      </c>
      <c r="H284" s="38">
        <v>10767570</v>
      </c>
      <c r="I284" s="39">
        <v>10767570</v>
      </c>
      <c r="J284" s="38">
        <v>808100</v>
      </c>
      <c r="K284" s="39">
        <v>11575670</v>
      </c>
      <c r="L284" s="39">
        <v>4630268</v>
      </c>
      <c r="M284" s="39"/>
      <c r="N284" s="39"/>
      <c r="O284" s="39"/>
      <c r="P284" s="38">
        <v>15543558</v>
      </c>
      <c r="Q284" s="39">
        <v>0</v>
      </c>
      <c r="R284" s="39">
        <v>0</v>
      </c>
      <c r="S284" s="40"/>
      <c r="T284" s="38">
        <v>0</v>
      </c>
      <c r="U284" s="40"/>
      <c r="V284" s="40">
        <v>430703</v>
      </c>
      <c r="W284" s="42"/>
      <c r="X284" s="40"/>
      <c r="Y284" s="40">
        <v>430703</v>
      </c>
      <c r="Z284" s="42"/>
      <c r="AA284" s="40"/>
      <c r="AB284" s="40"/>
      <c r="AC284" s="40">
        <v>107800</v>
      </c>
      <c r="AD284" s="42"/>
      <c r="AF284">
        <f>VLOOKUP(A284,Devengos!$A$4:$I$389,9,0)</f>
        <v>8840700</v>
      </c>
      <c r="AG284">
        <f t="shared" si="217"/>
        <v>8840700</v>
      </c>
      <c r="AH284">
        <f>IFERROR(VLOOKUP(B284,'Planilla Mes anterior'!$CX:$CY,2,0),0)</f>
        <v>15543558</v>
      </c>
      <c r="AJ284" s="95">
        <v>0</v>
      </c>
    </row>
    <row r="285" spans="1:36" x14ac:dyDescent="0.3">
      <c r="A285" s="81">
        <v>90725801</v>
      </c>
      <c r="B285" s="5">
        <v>53118223</v>
      </c>
      <c r="C285" s="36" t="s">
        <v>2062</v>
      </c>
      <c r="D285" s="36" t="s">
        <v>3456</v>
      </c>
      <c r="E285" s="39">
        <v>30</v>
      </c>
      <c r="F285" s="37">
        <v>0</v>
      </c>
      <c r="G285" s="37">
        <v>0</v>
      </c>
      <c r="H285" s="38">
        <v>3895500</v>
      </c>
      <c r="I285" s="39">
        <v>3895500</v>
      </c>
      <c r="J285" s="38">
        <v>700300</v>
      </c>
      <c r="K285" s="39">
        <v>4595800</v>
      </c>
      <c r="L285" s="39">
        <v>1838320</v>
      </c>
      <c r="M285" s="39"/>
      <c r="N285" s="39"/>
      <c r="O285" s="39"/>
      <c r="P285" s="38">
        <v>3895500</v>
      </c>
      <c r="Q285" s="39">
        <v>0</v>
      </c>
      <c r="R285" s="39">
        <v>0</v>
      </c>
      <c r="S285" s="40"/>
      <c r="T285" s="38">
        <v>0</v>
      </c>
      <c r="U285" s="40"/>
      <c r="V285" s="40">
        <v>155820</v>
      </c>
      <c r="W285" s="42"/>
      <c r="X285" s="40"/>
      <c r="Y285" s="40">
        <v>155820</v>
      </c>
      <c r="Z285" s="42"/>
      <c r="AA285" s="40"/>
      <c r="AB285" s="40"/>
      <c r="AC285" s="40">
        <v>0</v>
      </c>
      <c r="AD285" s="42"/>
      <c r="AF285">
        <f>VLOOKUP(A285,Devengos!$A$4:$I$389,9,0)</f>
        <v>3895500</v>
      </c>
      <c r="AG285">
        <f t="shared" si="217"/>
        <v>3895500</v>
      </c>
      <c r="AH285">
        <f>IFERROR(VLOOKUP(B285,'Planilla Mes anterior'!$CX:$CY,2,0),0)</f>
        <v>3895500</v>
      </c>
      <c r="AJ285" s="95">
        <v>0</v>
      </c>
    </row>
    <row r="286" spans="1:36" x14ac:dyDescent="0.3">
      <c r="A286" s="81">
        <v>90725802</v>
      </c>
      <c r="B286" s="5">
        <v>1143166001</v>
      </c>
      <c r="C286" s="36" t="s">
        <v>2068</v>
      </c>
      <c r="D286" s="36" t="s">
        <v>3456</v>
      </c>
      <c r="E286" s="39">
        <v>30</v>
      </c>
      <c r="F286" s="37">
        <v>0</v>
      </c>
      <c r="G286" s="37">
        <v>0</v>
      </c>
      <c r="H286" s="38">
        <v>16221106</v>
      </c>
      <c r="I286" s="39">
        <v>16221106</v>
      </c>
      <c r="J286" s="38">
        <v>862700</v>
      </c>
      <c r="K286" s="39">
        <v>17083806</v>
      </c>
      <c r="L286" s="39">
        <v>6833522</v>
      </c>
      <c r="M286" s="39"/>
      <c r="N286" s="39"/>
      <c r="O286" s="39"/>
      <c r="P286" s="38">
        <v>15905674</v>
      </c>
      <c r="Q286" s="39">
        <v>0</v>
      </c>
      <c r="R286" s="39">
        <v>0</v>
      </c>
      <c r="S286" s="40"/>
      <c r="T286" s="38">
        <v>0</v>
      </c>
      <c r="U286" s="40"/>
      <c r="V286" s="40">
        <v>648844</v>
      </c>
      <c r="W286" s="42"/>
      <c r="X286" s="40"/>
      <c r="Y286" s="40">
        <v>648844</v>
      </c>
      <c r="Z286" s="42"/>
      <c r="AA286" s="40"/>
      <c r="AB286" s="40"/>
      <c r="AC286" s="40">
        <v>162400</v>
      </c>
      <c r="AD286" s="42"/>
      <c r="AF286">
        <f>VLOOKUP(A286,Devengos!$A$4:$I$389,9,0)</f>
        <v>10635205</v>
      </c>
      <c r="AG286">
        <f t="shared" si="217"/>
        <v>10635205</v>
      </c>
      <c r="AH286">
        <f>IFERROR(VLOOKUP(B286,'Planilla Mes anterior'!$CX:$CY,2,0),0)</f>
        <v>15905674</v>
      </c>
      <c r="AJ286" s="95">
        <v>0</v>
      </c>
    </row>
    <row r="287" spans="1:36" x14ac:dyDescent="0.3">
      <c r="A287" s="81">
        <v>90725803</v>
      </c>
      <c r="B287" s="5">
        <v>80882411</v>
      </c>
      <c r="C287" s="36" t="s">
        <v>2072</v>
      </c>
      <c r="D287" s="36" t="s">
        <v>3456</v>
      </c>
      <c r="E287" s="39">
        <v>30</v>
      </c>
      <c r="F287" s="37">
        <v>0</v>
      </c>
      <c r="G287" s="37">
        <v>0</v>
      </c>
      <c r="H287" s="38">
        <v>6085545</v>
      </c>
      <c r="I287" s="39">
        <v>6085545</v>
      </c>
      <c r="J287" s="38">
        <v>700300</v>
      </c>
      <c r="K287" s="39">
        <v>6785845</v>
      </c>
      <c r="L287" s="39">
        <v>2714338</v>
      </c>
      <c r="M287" s="39"/>
      <c r="N287" s="39"/>
      <c r="O287" s="39"/>
      <c r="P287" s="38">
        <v>6085545</v>
      </c>
      <c r="Q287" s="39">
        <v>0</v>
      </c>
      <c r="R287" s="39">
        <v>0</v>
      </c>
      <c r="S287" s="40"/>
      <c r="T287" s="38">
        <v>0</v>
      </c>
      <c r="U287" s="40"/>
      <c r="V287" s="40">
        <v>243422</v>
      </c>
      <c r="W287" s="42"/>
      <c r="X287" s="40"/>
      <c r="Y287" s="40">
        <v>243422</v>
      </c>
      <c r="Z287" s="42"/>
      <c r="AA287" s="40"/>
      <c r="AB287" s="40"/>
      <c r="AC287" s="40">
        <v>0</v>
      </c>
      <c r="AD287" s="42"/>
      <c r="AF287">
        <f>VLOOKUP(A287,Devengos!$A$4:$I$389,9,0)</f>
        <v>7702800</v>
      </c>
      <c r="AG287">
        <f t="shared" si="217"/>
        <v>7702800</v>
      </c>
      <c r="AH287">
        <f>IFERROR(VLOOKUP(B287,'Planilla Mes anterior'!$CX:$CY,2,0),0)</f>
        <v>6085545</v>
      </c>
      <c r="AJ287" s="95">
        <v>0</v>
      </c>
    </row>
    <row r="288" spans="1:36" x14ac:dyDescent="0.3">
      <c r="A288" s="81">
        <v>90725804</v>
      </c>
      <c r="B288" s="5">
        <v>6803101</v>
      </c>
      <c r="C288" s="36" t="s">
        <v>2076</v>
      </c>
      <c r="D288" s="36" t="s">
        <v>3344</v>
      </c>
      <c r="E288" s="39">
        <v>30</v>
      </c>
      <c r="F288" s="37">
        <v>0</v>
      </c>
      <c r="G288" s="37">
        <v>0</v>
      </c>
      <c r="H288" s="38">
        <v>29767500</v>
      </c>
      <c r="I288" s="39">
        <v>20837250</v>
      </c>
      <c r="J288" s="38">
        <v>908700</v>
      </c>
      <c r="K288" s="39">
        <v>30676200</v>
      </c>
      <c r="L288" s="39">
        <v>12270480</v>
      </c>
      <c r="M288" s="39"/>
      <c r="N288" s="39"/>
      <c r="O288" s="39"/>
      <c r="P288" s="38">
        <v>20837250</v>
      </c>
      <c r="Q288" s="39">
        <v>0</v>
      </c>
      <c r="R288" s="39">
        <v>0</v>
      </c>
      <c r="S288" s="40"/>
      <c r="T288" s="38"/>
      <c r="U288" s="40"/>
      <c r="V288" s="40">
        <v>833490</v>
      </c>
      <c r="W288" s="42"/>
      <c r="X288" s="40"/>
      <c r="Y288" s="40">
        <v>833490</v>
      </c>
      <c r="Z288" s="42"/>
      <c r="AA288" s="40"/>
      <c r="AB288" s="40"/>
      <c r="AC288" s="40">
        <v>208400</v>
      </c>
      <c r="AD288" s="42"/>
      <c r="AF288">
        <f>VLOOKUP(A288,Devengos!$A$4:$I$389,9,0)</f>
        <v>29767500</v>
      </c>
      <c r="AG288">
        <f t="shared" si="217"/>
        <v>20837250</v>
      </c>
      <c r="AH288">
        <f>IFERROR(VLOOKUP(B288,'Planilla Mes anterior'!$CX:$CY,2,0),0)</f>
        <v>20837250</v>
      </c>
      <c r="AJ288" s="95">
        <v>0</v>
      </c>
    </row>
    <row r="289" spans="1:36" x14ac:dyDescent="0.3">
      <c r="A289" s="81">
        <v>90725918</v>
      </c>
      <c r="B289" s="5">
        <v>1000575248.9999999</v>
      </c>
      <c r="C289" s="36" t="s">
        <v>2081</v>
      </c>
      <c r="D289" s="36" t="s">
        <v>3456</v>
      </c>
      <c r="E289" s="39">
        <v>30</v>
      </c>
      <c r="F289" s="37">
        <v>0</v>
      </c>
      <c r="G289" s="37">
        <v>0</v>
      </c>
      <c r="H289" s="38">
        <v>4369599</v>
      </c>
      <c r="I289" s="39">
        <v>4369599</v>
      </c>
      <c r="J289" s="38">
        <v>700300</v>
      </c>
      <c r="K289" s="39">
        <v>5069899</v>
      </c>
      <c r="L289" s="39">
        <v>2027960</v>
      </c>
      <c r="M289" s="39"/>
      <c r="N289" s="39"/>
      <c r="O289" s="39"/>
      <c r="P289" s="38">
        <v>4369600</v>
      </c>
      <c r="Q289" s="39">
        <v>0</v>
      </c>
      <c r="R289" s="39">
        <v>0</v>
      </c>
      <c r="S289" s="40"/>
      <c r="T289" s="38">
        <v>0</v>
      </c>
      <c r="U289" s="40"/>
      <c r="V289" s="40">
        <v>174784</v>
      </c>
      <c r="W289" s="42"/>
      <c r="X289" s="40"/>
      <c r="Y289" s="40">
        <v>174784</v>
      </c>
      <c r="Z289" s="42"/>
      <c r="AA289" s="40"/>
      <c r="AB289" s="40"/>
      <c r="AC289" s="40">
        <v>0</v>
      </c>
      <c r="AD289" s="42"/>
      <c r="AF289">
        <f>VLOOKUP(A289,Devengos!$A$4:$I$389,9,0)</f>
        <v>4369599</v>
      </c>
      <c r="AG289">
        <f t="shared" si="217"/>
        <v>4369599</v>
      </c>
      <c r="AH289">
        <f>IFERROR(VLOOKUP(B289,'Planilla Mes anterior'!$CX:$CY,2,0),0)</f>
        <v>4369600</v>
      </c>
      <c r="AJ289" s="95">
        <v>0</v>
      </c>
    </row>
    <row r="290" spans="1:36" x14ac:dyDescent="0.3">
      <c r="A290" s="81">
        <v>90725922</v>
      </c>
      <c r="B290" s="5">
        <v>1018508832</v>
      </c>
      <c r="C290" s="36" t="s">
        <v>2084</v>
      </c>
      <c r="D290" s="36" t="s">
        <v>3456</v>
      </c>
      <c r="E290" s="39">
        <v>30</v>
      </c>
      <c r="F290" s="37">
        <v>0</v>
      </c>
      <c r="G290" s="37">
        <v>0</v>
      </c>
      <c r="H290" s="38">
        <v>6721963</v>
      </c>
      <c r="I290" s="39">
        <v>6721963</v>
      </c>
      <c r="J290" s="38">
        <v>700300</v>
      </c>
      <c r="K290" s="39">
        <v>7422263</v>
      </c>
      <c r="L290" s="39">
        <v>2968905</v>
      </c>
      <c r="M290" s="39"/>
      <c r="N290" s="39"/>
      <c r="O290" s="39"/>
      <c r="P290" s="38">
        <v>6721963</v>
      </c>
      <c r="Q290" s="39">
        <v>0</v>
      </c>
      <c r="R290" s="39">
        <v>0</v>
      </c>
      <c r="S290" s="40"/>
      <c r="T290" s="38">
        <v>0</v>
      </c>
      <c r="U290" s="40"/>
      <c r="V290" s="40">
        <v>268879</v>
      </c>
      <c r="W290" s="42"/>
      <c r="X290" s="40"/>
      <c r="Y290" s="40">
        <v>268879</v>
      </c>
      <c r="Z290" s="42"/>
      <c r="AA290" s="40"/>
      <c r="AB290" s="40"/>
      <c r="AC290" s="40">
        <v>0</v>
      </c>
      <c r="AD290" s="42"/>
      <c r="AF290">
        <f>VLOOKUP(A290,Devengos!$A$4:$I$389,9,0)</f>
        <v>6721963</v>
      </c>
      <c r="AG290">
        <f t="shared" si="217"/>
        <v>6721963</v>
      </c>
      <c r="AH290">
        <f>IFERROR(VLOOKUP(B290,'Planilla Mes anterior'!$CX:$CY,2,0),0)</f>
        <v>6721963</v>
      </c>
      <c r="AJ290" s="95">
        <v>0</v>
      </c>
    </row>
    <row r="291" spans="1:36" x14ac:dyDescent="0.3">
      <c r="A291" s="81">
        <v>90725944</v>
      </c>
      <c r="B291" s="5">
        <v>350299</v>
      </c>
      <c r="C291" s="36" t="s">
        <v>2089</v>
      </c>
      <c r="D291" s="36" t="s">
        <v>3456</v>
      </c>
      <c r="E291" s="39">
        <v>30</v>
      </c>
      <c r="F291" s="37">
        <v>0</v>
      </c>
      <c r="G291" s="37">
        <v>0</v>
      </c>
      <c r="H291" s="38">
        <v>12225088</v>
      </c>
      <c r="I291" s="39">
        <v>12225088</v>
      </c>
      <c r="J291" s="38">
        <v>822700</v>
      </c>
      <c r="K291" s="39">
        <v>13047788</v>
      </c>
      <c r="L291" s="39">
        <v>5219115</v>
      </c>
      <c r="M291" s="39"/>
      <c r="N291" s="39"/>
      <c r="O291" s="39"/>
      <c r="P291" s="38">
        <v>13803954</v>
      </c>
      <c r="Q291" s="39">
        <v>0</v>
      </c>
      <c r="R291" s="39">
        <v>0</v>
      </c>
      <c r="S291" s="40"/>
      <c r="T291" s="38">
        <v>0</v>
      </c>
      <c r="U291" s="40"/>
      <c r="V291" s="40">
        <v>489004</v>
      </c>
      <c r="W291" s="42"/>
      <c r="X291" s="40"/>
      <c r="Y291" s="40">
        <v>489004</v>
      </c>
      <c r="Z291" s="42"/>
      <c r="AA291" s="40"/>
      <c r="AB291" s="40"/>
      <c r="AC291" s="40">
        <v>122400</v>
      </c>
      <c r="AD291" s="42"/>
      <c r="AF291">
        <f>VLOOKUP(A291,Devengos!$A$4:$I$389,9,0)</f>
        <v>10384165</v>
      </c>
      <c r="AG291">
        <f t="shared" si="217"/>
        <v>10384165</v>
      </c>
      <c r="AH291">
        <f>IFERROR(VLOOKUP(B291,'Planilla Mes anterior'!$CX:$CY,2,0),0)</f>
        <v>13803954</v>
      </c>
      <c r="AJ291" s="95">
        <v>0</v>
      </c>
    </row>
    <row r="292" spans="1:36" x14ac:dyDescent="0.3">
      <c r="A292" s="81">
        <v>90726215</v>
      </c>
      <c r="B292" s="5">
        <v>1015483066</v>
      </c>
      <c r="C292" s="36" t="s">
        <v>2093</v>
      </c>
      <c r="D292" s="36" t="s">
        <v>3456</v>
      </c>
      <c r="E292" s="39">
        <v>30</v>
      </c>
      <c r="F292" s="37">
        <v>0</v>
      </c>
      <c r="G292" s="37">
        <v>0</v>
      </c>
      <c r="H292" s="38">
        <v>4220000</v>
      </c>
      <c r="I292" s="39">
        <v>4220000</v>
      </c>
      <c r="J292" s="38">
        <v>700300</v>
      </c>
      <c r="K292" s="39">
        <v>4920300</v>
      </c>
      <c r="L292" s="39">
        <v>1968120</v>
      </c>
      <c r="M292" s="39"/>
      <c r="N292" s="39"/>
      <c r="O292" s="39"/>
      <c r="P292" s="38">
        <v>7233246</v>
      </c>
      <c r="Q292" s="39">
        <v>0</v>
      </c>
      <c r="R292" s="39">
        <v>0</v>
      </c>
      <c r="S292" s="40"/>
      <c r="T292" s="38">
        <v>0</v>
      </c>
      <c r="U292" s="40"/>
      <c r="V292" s="40">
        <v>168800</v>
      </c>
      <c r="W292" s="42"/>
      <c r="X292" s="40"/>
      <c r="Y292" s="40">
        <v>168800</v>
      </c>
      <c r="Z292" s="42"/>
      <c r="AA292" s="40"/>
      <c r="AB292" s="40"/>
      <c r="AC292" s="40">
        <v>0</v>
      </c>
      <c r="AD292" s="42"/>
      <c r="AF292">
        <f>VLOOKUP(A292,Devengos!$A$4:$I$389,9,0)</f>
        <v>4220000</v>
      </c>
      <c r="AG292">
        <f t="shared" si="217"/>
        <v>4220000</v>
      </c>
      <c r="AH292">
        <f>IFERROR(VLOOKUP(B292,'Planilla Mes anterior'!$CX:$CY,2,0),0)</f>
        <v>7233246</v>
      </c>
      <c r="AJ292" s="95">
        <v>0</v>
      </c>
    </row>
    <row r="293" spans="1:36" x14ac:dyDescent="0.3">
      <c r="A293" s="81">
        <v>90726798</v>
      </c>
      <c r="B293" s="5">
        <v>71262838</v>
      </c>
      <c r="C293" s="36" t="s">
        <v>2097</v>
      </c>
      <c r="D293" s="36" t="s">
        <v>3344</v>
      </c>
      <c r="E293" s="39">
        <v>30</v>
      </c>
      <c r="F293" s="37">
        <v>0</v>
      </c>
      <c r="G293" s="37">
        <v>0</v>
      </c>
      <c r="H293" s="38">
        <v>23528820</v>
      </c>
      <c r="I293" s="39">
        <v>16470174</v>
      </c>
      <c r="J293" s="38">
        <v>1870246</v>
      </c>
      <c r="K293" s="39">
        <v>25399066</v>
      </c>
      <c r="L293" s="39">
        <v>10159626</v>
      </c>
      <c r="M293" s="39"/>
      <c r="N293" s="39"/>
      <c r="O293" s="39"/>
      <c r="P293" s="38">
        <v>16470174</v>
      </c>
      <c r="Q293" s="39">
        <v>0</v>
      </c>
      <c r="R293" s="39">
        <v>0</v>
      </c>
      <c r="S293" s="40"/>
      <c r="T293" s="38"/>
      <c r="U293" s="40"/>
      <c r="V293" s="40">
        <v>658807</v>
      </c>
      <c r="W293" s="42"/>
      <c r="X293" s="40"/>
      <c r="Y293" s="40">
        <v>658807</v>
      </c>
      <c r="Z293" s="42"/>
      <c r="AA293" s="40"/>
      <c r="AB293" s="40"/>
      <c r="AC293" s="40">
        <v>164800</v>
      </c>
      <c r="AD293" s="42"/>
      <c r="AF293">
        <f>VLOOKUP(A293,Devengos!$A$4:$I$389,9,0)</f>
        <v>23528820</v>
      </c>
      <c r="AG293">
        <f t="shared" si="217"/>
        <v>16470174</v>
      </c>
      <c r="AH293">
        <f>IFERROR(VLOOKUP(B293,'Planilla Mes anterior'!$CX:$CY,2,0),0)</f>
        <v>16470174</v>
      </c>
      <c r="AJ293" s="95">
        <v>0</v>
      </c>
    </row>
    <row r="294" spans="1:36" x14ac:dyDescent="0.3">
      <c r="A294" s="81">
        <v>90726799</v>
      </c>
      <c r="B294" s="5">
        <v>1140877736</v>
      </c>
      <c r="C294" s="36" t="s">
        <v>2103</v>
      </c>
      <c r="D294" s="36" t="s">
        <v>3456</v>
      </c>
      <c r="E294" s="39">
        <v>30</v>
      </c>
      <c r="F294" s="37">
        <v>3</v>
      </c>
      <c r="G294" s="37">
        <v>0</v>
      </c>
      <c r="H294" s="38">
        <v>12300161</v>
      </c>
      <c r="I294" s="39">
        <v>12300161</v>
      </c>
      <c r="J294" s="38">
        <v>836700</v>
      </c>
      <c r="K294" s="39">
        <v>13136861</v>
      </c>
      <c r="L294" s="39">
        <v>5254744</v>
      </c>
      <c r="M294" s="39"/>
      <c r="N294" s="39"/>
      <c r="O294" s="39"/>
      <c r="P294" s="38">
        <v>13055371</v>
      </c>
      <c r="Q294" s="39">
        <v>1305537</v>
      </c>
      <c r="R294" s="39">
        <v>0</v>
      </c>
      <c r="S294" s="40"/>
      <c r="T294" s="38">
        <v>0</v>
      </c>
      <c r="U294" s="40"/>
      <c r="V294" s="40">
        <v>544228</v>
      </c>
      <c r="W294" s="42"/>
      <c r="X294" s="40"/>
      <c r="Y294" s="40">
        <v>544228</v>
      </c>
      <c r="Z294" s="42"/>
      <c r="AA294" s="40"/>
      <c r="AB294" s="40"/>
      <c r="AC294" s="40">
        <v>136400</v>
      </c>
      <c r="AD294" s="42"/>
      <c r="AF294">
        <f>VLOOKUP(A294,Devengos!$A$4:$I$389,9,0)</f>
        <v>11466252</v>
      </c>
      <c r="AG294">
        <f t="shared" si="217"/>
        <v>11466252</v>
      </c>
      <c r="AH294">
        <f>IFERROR(VLOOKUP(B294,'Planilla Mes anterior'!$CX:$CY,2,0),0)</f>
        <v>13055371</v>
      </c>
      <c r="AJ294" s="95">
        <v>0</v>
      </c>
    </row>
    <row r="295" spans="1:36" x14ac:dyDescent="0.3">
      <c r="A295" s="81">
        <v>90727002</v>
      </c>
      <c r="B295" s="5">
        <v>1039459954</v>
      </c>
      <c r="C295" s="36" t="s">
        <v>2108</v>
      </c>
      <c r="D295" s="36" t="s">
        <v>3344</v>
      </c>
      <c r="E295" s="39">
        <v>30</v>
      </c>
      <c r="F295" s="37">
        <v>0</v>
      </c>
      <c r="G295" s="37">
        <v>0</v>
      </c>
      <c r="H295" s="38">
        <v>22761765</v>
      </c>
      <c r="I295" s="39">
        <v>15933235</v>
      </c>
      <c r="J295" s="38">
        <v>859700</v>
      </c>
      <c r="K295" s="39">
        <v>23621465</v>
      </c>
      <c r="L295" s="39">
        <v>9448586</v>
      </c>
      <c r="M295" s="39"/>
      <c r="N295" s="39"/>
      <c r="O295" s="39"/>
      <c r="P295" s="38">
        <v>15933236</v>
      </c>
      <c r="Q295" s="39">
        <v>0</v>
      </c>
      <c r="R295" s="39">
        <v>0</v>
      </c>
      <c r="S295" s="40"/>
      <c r="T295" s="38"/>
      <c r="U295" s="40"/>
      <c r="V295" s="40">
        <v>637329</v>
      </c>
      <c r="W295" s="42"/>
      <c r="X295" s="40"/>
      <c r="Y295" s="40">
        <v>637329</v>
      </c>
      <c r="Z295" s="42"/>
      <c r="AA295" s="40"/>
      <c r="AB295" s="40"/>
      <c r="AC295" s="40">
        <v>159400</v>
      </c>
      <c r="AD295" s="42"/>
      <c r="AF295">
        <f>VLOOKUP(A295,Devengos!$A$4:$I$389,9,0)</f>
        <v>22761765</v>
      </c>
      <c r="AG295">
        <f t="shared" si="217"/>
        <v>15933236</v>
      </c>
      <c r="AH295">
        <f>IFERROR(VLOOKUP(B295,'Planilla Mes anterior'!$CX:$CY,2,0),0)</f>
        <v>15933236</v>
      </c>
      <c r="AJ295" s="95">
        <v>0</v>
      </c>
    </row>
    <row r="296" spans="1:36" x14ac:dyDescent="0.3">
      <c r="A296" s="81">
        <v>90727047</v>
      </c>
      <c r="B296" s="5">
        <v>75075717</v>
      </c>
      <c r="C296" s="36" t="s">
        <v>2113</v>
      </c>
      <c r="D296" s="36" t="s">
        <v>3456</v>
      </c>
      <c r="E296" s="39">
        <v>30</v>
      </c>
      <c r="F296" s="37">
        <v>0</v>
      </c>
      <c r="G296" s="37">
        <v>0</v>
      </c>
      <c r="H296" s="38">
        <v>14418362</v>
      </c>
      <c r="I296" s="39">
        <v>14418362</v>
      </c>
      <c r="J296" s="38">
        <v>1246558</v>
      </c>
      <c r="K296" s="39">
        <v>15664920</v>
      </c>
      <c r="L296" s="39">
        <v>6265968</v>
      </c>
      <c r="M296" s="39"/>
      <c r="N296" s="39"/>
      <c r="O296" s="39"/>
      <c r="P296" s="38">
        <v>14418362</v>
      </c>
      <c r="Q296" s="39">
        <v>0</v>
      </c>
      <c r="R296" s="39">
        <v>0</v>
      </c>
      <c r="S296" s="40"/>
      <c r="T296" s="38">
        <v>0</v>
      </c>
      <c r="U296" s="40"/>
      <c r="V296" s="40">
        <v>576734</v>
      </c>
      <c r="W296" s="42"/>
      <c r="X296" s="40"/>
      <c r="Y296" s="40">
        <v>576734</v>
      </c>
      <c r="Z296" s="42"/>
      <c r="AA296" s="40"/>
      <c r="AB296" s="40"/>
      <c r="AC296" s="40">
        <v>144200</v>
      </c>
      <c r="AD296" s="42"/>
      <c r="AF296">
        <f>VLOOKUP(A296,Devengos!$A$4:$I$389,9,0)</f>
        <v>14418362</v>
      </c>
      <c r="AG296">
        <f t="shared" si="217"/>
        <v>14418362</v>
      </c>
      <c r="AH296">
        <f>IFERROR(VLOOKUP(B296,'Planilla Mes anterior'!$CX:$CY,2,0),0)</f>
        <v>14418362</v>
      </c>
      <c r="AJ296" s="95">
        <v>0</v>
      </c>
    </row>
    <row r="297" spans="1:36" x14ac:dyDescent="0.3">
      <c r="A297" s="81">
        <v>90727230</v>
      </c>
      <c r="B297" s="5">
        <v>9738206</v>
      </c>
      <c r="C297" s="36" t="s">
        <v>2118</v>
      </c>
      <c r="D297" s="36" t="s">
        <v>3456</v>
      </c>
      <c r="E297" s="39">
        <v>30</v>
      </c>
      <c r="F297" s="37">
        <v>0</v>
      </c>
      <c r="G297" s="37">
        <v>0</v>
      </c>
      <c r="H297" s="38">
        <v>9180000</v>
      </c>
      <c r="I297" s="39">
        <v>9180000</v>
      </c>
      <c r="J297" s="38">
        <v>792100</v>
      </c>
      <c r="K297" s="39">
        <v>9972100</v>
      </c>
      <c r="L297" s="39">
        <v>3988840</v>
      </c>
      <c r="M297" s="39"/>
      <c r="N297" s="39"/>
      <c r="O297" s="39"/>
      <c r="P297" s="38">
        <v>9180000</v>
      </c>
      <c r="Q297" s="39">
        <v>0</v>
      </c>
      <c r="R297" s="39">
        <v>0</v>
      </c>
      <c r="S297" s="40"/>
      <c r="T297" s="38">
        <v>0</v>
      </c>
      <c r="U297" s="40"/>
      <c r="V297" s="40">
        <v>367200</v>
      </c>
      <c r="W297" s="42"/>
      <c r="X297" s="40"/>
      <c r="Y297" s="40">
        <v>367200</v>
      </c>
      <c r="Z297" s="42"/>
      <c r="AA297" s="40"/>
      <c r="AB297" s="40"/>
      <c r="AC297" s="40">
        <v>91800</v>
      </c>
      <c r="AD297" s="42"/>
      <c r="AF297">
        <f>VLOOKUP(A297,Devengos!$A$4:$I$389,9,0)</f>
        <v>9180000</v>
      </c>
      <c r="AG297">
        <f t="shared" si="217"/>
        <v>9180000</v>
      </c>
      <c r="AH297">
        <f>IFERROR(VLOOKUP(B297,'Planilla Mes anterior'!$CX:$CY,2,0),0)</f>
        <v>9180000</v>
      </c>
      <c r="AJ297" s="95">
        <v>0</v>
      </c>
    </row>
    <row r="298" spans="1:36" x14ac:dyDescent="0.3">
      <c r="A298" s="81">
        <v>90727265</v>
      </c>
      <c r="B298" s="5">
        <v>1030535888.9999999</v>
      </c>
      <c r="C298" s="36" t="s">
        <v>2123</v>
      </c>
      <c r="D298" s="36" t="s">
        <v>3344</v>
      </c>
      <c r="E298" s="39">
        <v>31</v>
      </c>
      <c r="F298" s="37">
        <v>0</v>
      </c>
      <c r="G298" s="37">
        <v>0</v>
      </c>
      <c r="H298" s="38">
        <v>38085650</v>
      </c>
      <c r="I298" s="39">
        <v>26659955</v>
      </c>
      <c r="J298" s="38">
        <v>966900</v>
      </c>
      <c r="K298" s="39">
        <v>39052550</v>
      </c>
      <c r="L298" s="39">
        <v>15621020</v>
      </c>
      <c r="M298" s="39"/>
      <c r="N298" s="39"/>
      <c r="O298" s="39"/>
      <c r="P298" s="38">
        <v>18450083</v>
      </c>
      <c r="Q298" s="39">
        <v>0</v>
      </c>
      <c r="R298" s="39">
        <v>0</v>
      </c>
      <c r="S298" s="40"/>
      <c r="T298" s="38"/>
      <c r="U298" s="40"/>
      <c r="V298" s="40">
        <v>1066398</v>
      </c>
      <c r="W298" s="42"/>
      <c r="X298" s="40"/>
      <c r="Y298" s="40">
        <v>1066398</v>
      </c>
      <c r="Z298" s="42"/>
      <c r="AA298" s="40"/>
      <c r="AB298" s="40"/>
      <c r="AC298" s="40">
        <v>266600</v>
      </c>
      <c r="AD298" s="42"/>
      <c r="AF298">
        <f>VLOOKUP(A298,Devengos!$A$4:$I$389,9,0)</f>
        <v>22761765.833299998</v>
      </c>
      <c r="AG298">
        <f t="shared" si="217"/>
        <v>15933236</v>
      </c>
      <c r="AH298">
        <f>IFERROR(VLOOKUP(B298,'Planilla Mes anterior'!$CX:$CY,2,0),0)</f>
        <v>18450083</v>
      </c>
      <c r="AJ298" s="95">
        <v>0</v>
      </c>
    </row>
    <row r="299" spans="1:36" x14ac:dyDescent="0.3">
      <c r="A299" s="81">
        <v>90727455</v>
      </c>
      <c r="B299" s="5">
        <v>1016099094</v>
      </c>
      <c r="C299" s="36" t="s">
        <v>2128</v>
      </c>
      <c r="D299" s="36" t="s">
        <v>3456</v>
      </c>
      <c r="E299" s="39">
        <v>30</v>
      </c>
      <c r="F299" s="37">
        <v>0</v>
      </c>
      <c r="G299" s="37">
        <v>0</v>
      </c>
      <c r="H299" s="38">
        <v>6684094</v>
      </c>
      <c r="I299" s="39">
        <v>6684094</v>
      </c>
      <c r="J299" s="38">
        <v>700300</v>
      </c>
      <c r="K299" s="39">
        <v>7384394</v>
      </c>
      <c r="L299" s="39">
        <v>2953758</v>
      </c>
      <c r="M299" s="39"/>
      <c r="N299" s="39"/>
      <c r="O299" s="39"/>
      <c r="P299" s="38">
        <v>6684094</v>
      </c>
      <c r="Q299" s="39">
        <v>0</v>
      </c>
      <c r="R299" s="39">
        <v>0</v>
      </c>
      <c r="S299" s="40"/>
      <c r="T299" s="38">
        <v>0</v>
      </c>
      <c r="U299" s="40"/>
      <c r="V299" s="40">
        <v>267364</v>
      </c>
      <c r="W299" s="42"/>
      <c r="X299" s="40"/>
      <c r="Y299" s="40">
        <v>267364</v>
      </c>
      <c r="Z299" s="42"/>
      <c r="AA299" s="40"/>
      <c r="AB299" s="40"/>
      <c r="AC299" s="40">
        <v>0</v>
      </c>
      <c r="AD299" s="42"/>
      <c r="AF299">
        <f>VLOOKUP(A299,Devengos!$A$4:$I$389,9,0)</f>
        <v>5929438</v>
      </c>
      <c r="AG299">
        <f t="shared" si="217"/>
        <v>5929438</v>
      </c>
      <c r="AH299">
        <f>IFERROR(VLOOKUP(B299,'Planilla Mes anterior'!$CX:$CY,2,0),0)</f>
        <v>6684094</v>
      </c>
      <c r="AJ299" s="95">
        <v>0</v>
      </c>
    </row>
    <row r="300" spans="1:36" x14ac:dyDescent="0.3">
      <c r="A300" s="81">
        <v>90727473</v>
      </c>
      <c r="B300" s="5">
        <v>1003811919.0000001</v>
      </c>
      <c r="C300" s="36" t="s">
        <v>2133</v>
      </c>
      <c r="D300" s="36" t="s">
        <v>3456</v>
      </c>
      <c r="E300" s="39">
        <v>30</v>
      </c>
      <c r="F300" s="37">
        <v>0</v>
      </c>
      <c r="G300" s="37">
        <v>0</v>
      </c>
      <c r="H300" s="38">
        <v>8820742</v>
      </c>
      <c r="I300" s="39">
        <v>8820742</v>
      </c>
      <c r="J300" s="38">
        <v>989729</v>
      </c>
      <c r="K300" s="39">
        <v>9810471</v>
      </c>
      <c r="L300" s="39">
        <v>3924188</v>
      </c>
      <c r="M300" s="39"/>
      <c r="N300" s="39"/>
      <c r="O300" s="39"/>
      <c r="P300" s="38">
        <v>8820742</v>
      </c>
      <c r="Q300" s="39">
        <v>0</v>
      </c>
      <c r="R300" s="39">
        <v>0</v>
      </c>
      <c r="S300" s="40"/>
      <c r="T300" s="38">
        <v>0</v>
      </c>
      <c r="U300" s="40"/>
      <c r="V300" s="40">
        <v>352830</v>
      </c>
      <c r="W300" s="42"/>
      <c r="X300" s="40"/>
      <c r="Y300" s="40">
        <v>352830</v>
      </c>
      <c r="Z300" s="42"/>
      <c r="AA300" s="40"/>
      <c r="AB300" s="40"/>
      <c r="AC300" s="40">
        <v>88400</v>
      </c>
      <c r="AD300" s="42"/>
      <c r="AF300">
        <f>VLOOKUP(A300,Devengos!$A$4:$I$389,9,0)</f>
        <v>8820742</v>
      </c>
      <c r="AG300">
        <f t="shared" si="217"/>
        <v>8820742</v>
      </c>
      <c r="AH300">
        <f>IFERROR(VLOOKUP(B300,'Planilla Mes anterior'!$CX:$CY,2,0),0)</f>
        <v>8820742</v>
      </c>
      <c r="AJ300" s="95">
        <v>0</v>
      </c>
    </row>
    <row r="301" spans="1:36" x14ac:dyDescent="0.3">
      <c r="A301" s="81">
        <v>90727498</v>
      </c>
      <c r="B301" s="5">
        <v>5135583</v>
      </c>
      <c r="C301" s="36" t="s">
        <v>2138</v>
      </c>
      <c r="D301" s="36" t="s">
        <v>3456</v>
      </c>
      <c r="E301" s="39">
        <v>30</v>
      </c>
      <c r="F301" s="37">
        <v>0</v>
      </c>
      <c r="G301" s="37">
        <v>0</v>
      </c>
      <c r="H301" s="38">
        <v>14072730</v>
      </c>
      <c r="I301" s="39">
        <v>14072730</v>
      </c>
      <c r="J301" s="38">
        <v>841100</v>
      </c>
      <c r="K301" s="39">
        <v>14913830</v>
      </c>
      <c r="L301" s="39">
        <v>5965532</v>
      </c>
      <c r="M301" s="39"/>
      <c r="N301" s="39"/>
      <c r="O301" s="39"/>
      <c r="P301" s="38">
        <v>14072730</v>
      </c>
      <c r="Q301" s="39">
        <v>0</v>
      </c>
      <c r="R301" s="39">
        <v>0</v>
      </c>
      <c r="S301" s="40"/>
      <c r="T301" s="38">
        <v>0</v>
      </c>
      <c r="U301" s="40"/>
      <c r="V301" s="40">
        <v>562909</v>
      </c>
      <c r="W301" s="42"/>
      <c r="X301" s="40"/>
      <c r="Y301" s="40">
        <v>562909</v>
      </c>
      <c r="Z301" s="42"/>
      <c r="AA301" s="40"/>
      <c r="AB301" s="40"/>
      <c r="AC301" s="40">
        <v>140800</v>
      </c>
      <c r="AD301" s="42"/>
      <c r="AF301">
        <f>VLOOKUP(A301,Devengos!$A$4:$I$389,9,0)</f>
        <v>14072730</v>
      </c>
      <c r="AG301">
        <f t="shared" si="217"/>
        <v>14072730</v>
      </c>
      <c r="AH301">
        <f>IFERROR(VLOOKUP(B301,'Planilla Mes anterior'!$CX:$CY,2,0),0)</f>
        <v>14072730</v>
      </c>
      <c r="AJ301" s="95">
        <v>0</v>
      </c>
    </row>
    <row r="302" spans="1:36" x14ac:dyDescent="0.3">
      <c r="A302" s="81">
        <v>90727617</v>
      </c>
      <c r="B302" s="5">
        <v>479437</v>
      </c>
      <c r="C302" s="36" t="s">
        <v>2140</v>
      </c>
      <c r="D302" s="36" t="s">
        <v>3456</v>
      </c>
      <c r="E302" s="39">
        <v>30</v>
      </c>
      <c r="F302" s="37">
        <v>0</v>
      </c>
      <c r="G302" s="37">
        <v>0</v>
      </c>
      <c r="H302" s="38">
        <v>15225000</v>
      </c>
      <c r="I302" s="39">
        <v>15225000</v>
      </c>
      <c r="J302" s="38">
        <v>852700</v>
      </c>
      <c r="K302" s="39">
        <v>16077700</v>
      </c>
      <c r="L302" s="39">
        <v>6431080</v>
      </c>
      <c r="M302" s="39"/>
      <c r="N302" s="39"/>
      <c r="O302" s="39"/>
      <c r="P302" s="38">
        <v>15225000</v>
      </c>
      <c r="Q302" s="39">
        <v>0</v>
      </c>
      <c r="R302" s="39">
        <v>0</v>
      </c>
      <c r="S302" s="40"/>
      <c r="T302" s="38">
        <v>0</v>
      </c>
      <c r="U302" s="40"/>
      <c r="V302" s="40">
        <v>609000</v>
      </c>
      <c r="W302" s="42"/>
      <c r="X302" s="40"/>
      <c r="Y302" s="40">
        <v>609000</v>
      </c>
      <c r="Z302" s="42"/>
      <c r="AA302" s="40"/>
      <c r="AB302" s="40"/>
      <c r="AC302" s="40">
        <v>152400</v>
      </c>
      <c r="AD302" s="42"/>
      <c r="AF302">
        <f>VLOOKUP(A302,Devengos!$A$4:$I$389,9,0)</f>
        <v>15225000</v>
      </c>
      <c r="AG302">
        <f t="shared" si="217"/>
        <v>15225000</v>
      </c>
      <c r="AH302">
        <f>IFERROR(VLOOKUP(B302,'Planilla Mes anterior'!$CX:$CY,2,0),0)</f>
        <v>15225000</v>
      </c>
      <c r="AJ302" s="95">
        <v>0</v>
      </c>
    </row>
    <row r="303" spans="1:36" x14ac:dyDescent="0.3">
      <c r="A303" s="81">
        <v>90727742</v>
      </c>
      <c r="B303" s="5">
        <v>1136889079</v>
      </c>
      <c r="C303" s="36" t="s">
        <v>2144</v>
      </c>
      <c r="D303" s="36" t="s">
        <v>3456</v>
      </c>
      <c r="E303" s="39">
        <v>30</v>
      </c>
      <c r="F303" s="37">
        <v>0</v>
      </c>
      <c r="G303" s="37">
        <v>0</v>
      </c>
      <c r="H303" s="38">
        <v>10150159</v>
      </c>
      <c r="I303" s="39">
        <v>10150159</v>
      </c>
      <c r="J303" s="38">
        <v>801900</v>
      </c>
      <c r="K303" s="39">
        <v>10952059</v>
      </c>
      <c r="L303" s="39">
        <v>4380824</v>
      </c>
      <c r="M303" s="39"/>
      <c r="N303" s="39"/>
      <c r="O303" s="39"/>
      <c r="P303" s="38">
        <v>11985177</v>
      </c>
      <c r="Q303" s="39">
        <v>0</v>
      </c>
      <c r="R303" s="39">
        <v>0</v>
      </c>
      <c r="S303" s="40"/>
      <c r="T303" s="38">
        <v>0</v>
      </c>
      <c r="U303" s="40"/>
      <c r="V303" s="40">
        <v>406006</v>
      </c>
      <c r="W303" s="42"/>
      <c r="X303" s="40"/>
      <c r="Y303" s="40">
        <v>406006</v>
      </c>
      <c r="Z303" s="42"/>
      <c r="AA303" s="40"/>
      <c r="AB303" s="40"/>
      <c r="AC303" s="40">
        <v>101600</v>
      </c>
      <c r="AD303" s="42"/>
      <c r="AF303">
        <f>VLOOKUP(A303,Devengos!$A$4:$I$389,9,0)</f>
        <v>7560000</v>
      </c>
      <c r="AG303">
        <f t="shared" si="217"/>
        <v>7560000</v>
      </c>
      <c r="AH303">
        <f>IFERROR(VLOOKUP(B303,'Planilla Mes anterior'!$CX:$CY,2,0),0)</f>
        <v>11985177</v>
      </c>
      <c r="AJ303" s="95">
        <v>0</v>
      </c>
    </row>
    <row r="304" spans="1:36" x14ac:dyDescent="0.3">
      <c r="A304" s="81">
        <v>90727958</v>
      </c>
      <c r="B304" s="5">
        <v>1001371135.0000001</v>
      </c>
      <c r="C304" s="36" t="s">
        <v>2148</v>
      </c>
      <c r="D304" s="36" t="s">
        <v>3456</v>
      </c>
      <c r="E304" s="39">
        <v>30</v>
      </c>
      <c r="F304" s="37">
        <v>0</v>
      </c>
      <c r="G304" s="37">
        <v>0</v>
      </c>
      <c r="H304" s="38">
        <v>4850000</v>
      </c>
      <c r="I304" s="39">
        <v>4850000</v>
      </c>
      <c r="J304" s="38">
        <v>700300</v>
      </c>
      <c r="K304" s="39">
        <v>5550300</v>
      </c>
      <c r="L304" s="39">
        <v>2220120</v>
      </c>
      <c r="M304" s="39"/>
      <c r="N304" s="39"/>
      <c r="O304" s="39"/>
      <c r="P304" s="38">
        <v>4526667</v>
      </c>
      <c r="Q304" s="39">
        <v>0</v>
      </c>
      <c r="R304" s="39">
        <v>0</v>
      </c>
      <c r="S304" s="40"/>
      <c r="T304" s="38">
        <v>0</v>
      </c>
      <c r="U304" s="40"/>
      <c r="V304" s="40">
        <v>194000</v>
      </c>
      <c r="W304" s="42"/>
      <c r="X304" s="40"/>
      <c r="Y304" s="40">
        <v>194000</v>
      </c>
      <c r="Z304" s="42"/>
      <c r="AA304" s="40"/>
      <c r="AB304" s="40"/>
      <c r="AC304" s="40">
        <v>0</v>
      </c>
      <c r="AD304" s="42"/>
      <c r="AF304">
        <f>VLOOKUP(A304,Devengos!$A$4:$I$389,9,0)</f>
        <v>4850000</v>
      </c>
      <c r="AG304">
        <f t="shared" si="217"/>
        <v>4850000</v>
      </c>
      <c r="AH304">
        <f>IFERROR(VLOOKUP(B304,'Planilla Mes anterior'!$CX:$CY,2,0),0)</f>
        <v>4526667</v>
      </c>
      <c r="AJ304" s="95">
        <v>0</v>
      </c>
    </row>
    <row r="305" spans="1:36" x14ac:dyDescent="0.3">
      <c r="A305" s="81">
        <v>90727961</v>
      </c>
      <c r="B305" s="5">
        <v>1001367558</v>
      </c>
      <c r="C305" s="36" t="s">
        <v>2154</v>
      </c>
      <c r="D305" s="36" t="s">
        <v>3456</v>
      </c>
      <c r="E305" s="39">
        <v>30</v>
      </c>
      <c r="F305" s="37">
        <v>0</v>
      </c>
      <c r="G305" s="37">
        <v>0</v>
      </c>
      <c r="H305" s="38">
        <v>4850000</v>
      </c>
      <c r="I305" s="39">
        <v>4850000</v>
      </c>
      <c r="J305" s="38">
        <v>700300</v>
      </c>
      <c r="K305" s="39">
        <v>5550300</v>
      </c>
      <c r="L305" s="39">
        <v>2220120</v>
      </c>
      <c r="M305" s="39"/>
      <c r="N305" s="39"/>
      <c r="O305" s="39"/>
      <c r="P305" s="38">
        <v>4526667</v>
      </c>
      <c r="Q305" s="39">
        <v>0</v>
      </c>
      <c r="R305" s="39">
        <v>0</v>
      </c>
      <c r="S305" s="40"/>
      <c r="T305" s="38">
        <v>0</v>
      </c>
      <c r="U305" s="40"/>
      <c r="V305" s="40">
        <v>194000</v>
      </c>
      <c r="W305" s="42"/>
      <c r="X305" s="40"/>
      <c r="Y305" s="40">
        <v>194000</v>
      </c>
      <c r="Z305" s="42"/>
      <c r="AA305" s="40"/>
      <c r="AB305" s="40"/>
      <c r="AC305" s="40">
        <v>0</v>
      </c>
      <c r="AD305" s="42"/>
      <c r="AF305">
        <f>VLOOKUP(A305,Devengos!$A$4:$I$389,9,0)</f>
        <v>4850000</v>
      </c>
      <c r="AG305">
        <f t="shared" si="217"/>
        <v>4850000</v>
      </c>
      <c r="AH305">
        <f>IFERROR(VLOOKUP(B305,'Planilla Mes anterior'!$CX:$CY,2,0),0)</f>
        <v>4526667</v>
      </c>
      <c r="AJ305" s="95">
        <v>0</v>
      </c>
    </row>
    <row r="306" spans="1:36" x14ac:dyDescent="0.3">
      <c r="A306" s="81">
        <v>90728010</v>
      </c>
      <c r="B306" s="5">
        <v>1018498500</v>
      </c>
      <c r="C306" s="36" t="s">
        <v>2156</v>
      </c>
      <c r="D306" s="36" t="s">
        <v>3456</v>
      </c>
      <c r="E306" s="39">
        <v>30</v>
      </c>
      <c r="F306" s="37">
        <v>0</v>
      </c>
      <c r="G306" s="37">
        <v>0</v>
      </c>
      <c r="H306" s="38">
        <v>10041500</v>
      </c>
      <c r="I306" s="39">
        <v>10041500</v>
      </c>
      <c r="J306" s="38">
        <v>800900</v>
      </c>
      <c r="K306" s="39">
        <v>10842400</v>
      </c>
      <c r="L306" s="39">
        <v>4336960</v>
      </c>
      <c r="M306" s="39"/>
      <c r="N306" s="39"/>
      <c r="O306" s="39"/>
      <c r="P306" s="38">
        <v>10041500</v>
      </c>
      <c r="Q306" s="39">
        <v>0</v>
      </c>
      <c r="R306" s="39">
        <v>0</v>
      </c>
      <c r="S306" s="40"/>
      <c r="T306" s="38">
        <v>0</v>
      </c>
      <c r="U306" s="40"/>
      <c r="V306" s="40">
        <v>401660</v>
      </c>
      <c r="W306" s="42"/>
      <c r="X306" s="40"/>
      <c r="Y306" s="40">
        <v>401660</v>
      </c>
      <c r="Z306" s="42"/>
      <c r="AA306" s="40"/>
      <c r="AB306" s="40"/>
      <c r="AC306" s="40">
        <v>100600</v>
      </c>
      <c r="AD306" s="42"/>
      <c r="AF306">
        <f>VLOOKUP(A306,Devengos!$A$4:$I$389,9,0)</f>
        <v>10041500</v>
      </c>
      <c r="AG306">
        <f t="shared" si="217"/>
        <v>10041500</v>
      </c>
      <c r="AH306">
        <f>IFERROR(VLOOKUP(B306,'Planilla Mes anterior'!$CX:$CY,2,0),0)</f>
        <v>10041500</v>
      </c>
      <c r="AJ306" s="95">
        <v>0</v>
      </c>
    </row>
    <row r="307" spans="1:36" x14ac:dyDescent="0.3">
      <c r="A307" s="81">
        <v>90728208</v>
      </c>
      <c r="B307" s="5">
        <v>1020724383.0000001</v>
      </c>
      <c r="C307" s="36" t="s">
        <v>3193</v>
      </c>
      <c r="D307" s="36" t="s">
        <v>3456</v>
      </c>
      <c r="E307" s="39">
        <v>30</v>
      </c>
      <c r="F307" s="37">
        <v>0</v>
      </c>
      <c r="G307" s="37">
        <v>0</v>
      </c>
      <c r="H307" s="38">
        <v>6739200</v>
      </c>
      <c r="I307" s="39">
        <v>6739200</v>
      </c>
      <c r="J307" s="38">
        <v>700300</v>
      </c>
      <c r="K307" s="39">
        <v>7439500</v>
      </c>
      <c r="L307" s="39">
        <v>2975800</v>
      </c>
      <c r="M307" s="39"/>
      <c r="N307" s="39"/>
      <c r="O307" s="39"/>
      <c r="P307" s="38">
        <v>6739200</v>
      </c>
      <c r="Q307" s="39">
        <v>0</v>
      </c>
      <c r="R307" s="39">
        <v>0</v>
      </c>
      <c r="S307" s="40"/>
      <c r="T307" s="38">
        <v>0</v>
      </c>
      <c r="U307" s="40"/>
      <c r="V307" s="40">
        <v>269568</v>
      </c>
      <c r="W307" s="42"/>
      <c r="X307" s="40"/>
      <c r="Y307" s="40">
        <v>269568</v>
      </c>
      <c r="Z307" s="42"/>
      <c r="AA307" s="40"/>
      <c r="AB307" s="40"/>
      <c r="AC307" s="40">
        <v>0</v>
      </c>
      <c r="AD307" s="42"/>
      <c r="AF307">
        <f>VLOOKUP(A307,Devengos!$A$4:$I$389,9,0)</f>
        <v>6739200</v>
      </c>
      <c r="AG307">
        <f t="shared" si="217"/>
        <v>6739200</v>
      </c>
      <c r="AH307">
        <f>IFERROR(VLOOKUP(B307,'Planilla Mes anterior'!$CX:$CY,2,0),0)</f>
        <v>6739200</v>
      </c>
      <c r="AJ307" s="95">
        <v>0</v>
      </c>
    </row>
    <row r="308" spans="1:36" x14ac:dyDescent="0.3">
      <c r="A308" s="81">
        <v>90728209</v>
      </c>
      <c r="B308" s="5">
        <v>1003049354</v>
      </c>
      <c r="C308" s="36" t="s">
        <v>3194</v>
      </c>
      <c r="D308" s="36" t="s">
        <v>3456</v>
      </c>
      <c r="E308" s="39">
        <v>32</v>
      </c>
      <c r="F308" s="37">
        <v>0</v>
      </c>
      <c r="G308" s="37">
        <v>0</v>
      </c>
      <c r="H308" s="38">
        <v>5054042</v>
      </c>
      <c r="I308" s="39">
        <v>5054042</v>
      </c>
      <c r="J308" s="38">
        <v>700300</v>
      </c>
      <c r="K308" s="39">
        <v>5754342</v>
      </c>
      <c r="L308" s="39">
        <v>2301737</v>
      </c>
      <c r="M308" s="39"/>
      <c r="N308" s="39"/>
      <c r="O308" s="39"/>
      <c r="P308" s="38">
        <v>4381755</v>
      </c>
      <c r="Q308" s="39">
        <v>0</v>
      </c>
      <c r="R308" s="39">
        <v>0</v>
      </c>
      <c r="S308" s="40"/>
      <c r="T308" s="38">
        <v>0</v>
      </c>
      <c r="U308" s="40"/>
      <c r="V308" s="40">
        <v>202162</v>
      </c>
      <c r="W308" s="42"/>
      <c r="X308" s="40"/>
      <c r="Y308" s="40">
        <v>202162</v>
      </c>
      <c r="Z308" s="42"/>
      <c r="AA308" s="40"/>
      <c r="AB308" s="40"/>
      <c r="AC308" s="40">
        <v>0</v>
      </c>
      <c r="AD308" s="42"/>
      <c r="AF308">
        <f>VLOOKUP(A308,Devengos!$A$4:$I$389,9,0)</f>
        <v>4293450</v>
      </c>
      <c r="AG308">
        <f t="shared" si="217"/>
        <v>4293450</v>
      </c>
      <c r="AH308">
        <f>IFERROR(VLOOKUP(B308,'Planilla Mes anterior'!$CX:$CY,2,0),0)</f>
        <v>4381755</v>
      </c>
      <c r="AJ308" s="95">
        <v>0</v>
      </c>
    </row>
    <row r="309" spans="1:36" x14ac:dyDescent="0.3">
      <c r="A309" s="81">
        <v>90728210</v>
      </c>
      <c r="B309" s="5">
        <v>1077085651</v>
      </c>
      <c r="C309" s="36" t="s">
        <v>3195</v>
      </c>
      <c r="D309" s="36" t="s">
        <v>3456</v>
      </c>
      <c r="E309" s="39">
        <v>32</v>
      </c>
      <c r="F309" s="37">
        <v>0</v>
      </c>
      <c r="G309" s="37">
        <v>0</v>
      </c>
      <c r="H309" s="38">
        <v>10153375</v>
      </c>
      <c r="I309" s="39">
        <v>10153375</v>
      </c>
      <c r="J309" s="38">
        <v>801900</v>
      </c>
      <c r="K309" s="39">
        <v>10955275</v>
      </c>
      <c r="L309" s="39">
        <v>4382110</v>
      </c>
      <c r="M309" s="39"/>
      <c r="N309" s="39"/>
      <c r="O309" s="39"/>
      <c r="P309" s="38">
        <v>8200958</v>
      </c>
      <c r="Q309" s="39">
        <v>0</v>
      </c>
      <c r="R309" s="39">
        <v>0</v>
      </c>
      <c r="S309" s="40"/>
      <c r="T309" s="38">
        <v>0</v>
      </c>
      <c r="U309" s="40"/>
      <c r="V309" s="40">
        <v>406135</v>
      </c>
      <c r="W309" s="42"/>
      <c r="X309" s="40"/>
      <c r="Y309" s="40">
        <v>406135</v>
      </c>
      <c r="Z309" s="42"/>
      <c r="AA309" s="40"/>
      <c r="AB309" s="40"/>
      <c r="AC309" s="40">
        <v>101600</v>
      </c>
      <c r="AD309" s="42"/>
      <c r="AF309">
        <f>VLOOKUP(A309,Devengos!$A$4:$I$389,9,0)</f>
        <v>8142750</v>
      </c>
      <c r="AG309">
        <f t="shared" si="217"/>
        <v>8142750</v>
      </c>
      <c r="AH309">
        <f>IFERROR(VLOOKUP(B309,'Planilla Mes anterior'!$CX:$CY,2,0),0)</f>
        <v>8200958</v>
      </c>
      <c r="AJ309" s="95">
        <v>0</v>
      </c>
    </row>
    <row r="310" spans="1:36" x14ac:dyDescent="0.3">
      <c r="A310" s="81">
        <v>90729127</v>
      </c>
      <c r="B310" s="5">
        <v>1033732674</v>
      </c>
      <c r="C310" s="36" t="s">
        <v>3280</v>
      </c>
      <c r="D310" s="36" t="s">
        <v>3456</v>
      </c>
      <c r="E310" s="39">
        <v>30</v>
      </c>
      <c r="F310" s="37">
        <v>2</v>
      </c>
      <c r="G310" s="37">
        <v>0</v>
      </c>
      <c r="H310" s="38">
        <v>8398413</v>
      </c>
      <c r="I310" s="39">
        <v>8398413</v>
      </c>
      <c r="J310" s="38">
        <v>790100</v>
      </c>
      <c r="K310" s="39">
        <v>9188513</v>
      </c>
      <c r="L310" s="39">
        <v>3675405</v>
      </c>
      <c r="M310" s="39"/>
      <c r="N310" s="39"/>
      <c r="O310" s="39"/>
      <c r="P310" s="38">
        <v>8544119</v>
      </c>
      <c r="Q310" s="39">
        <v>569608</v>
      </c>
      <c r="R310" s="39">
        <v>0</v>
      </c>
      <c r="S310" s="40"/>
      <c r="T310" s="38">
        <v>0</v>
      </c>
      <c r="U310" s="40"/>
      <c r="V310" s="40">
        <v>358721</v>
      </c>
      <c r="W310" s="42"/>
      <c r="X310" s="40"/>
      <c r="Y310" s="40">
        <v>358721</v>
      </c>
      <c r="Z310" s="42"/>
      <c r="AA310" s="40"/>
      <c r="AB310" s="40"/>
      <c r="AC310" s="40">
        <v>89800</v>
      </c>
      <c r="AD310" s="42"/>
      <c r="AF310">
        <f>VLOOKUP(A310,Devengos!$A$4:$I$389,9,0)</f>
        <v>7931250</v>
      </c>
      <c r="AG310">
        <f t="shared" si="217"/>
        <v>7931250</v>
      </c>
      <c r="AH310">
        <f>IFERROR(VLOOKUP(B310,'Planilla Mes anterior'!$CX:$CY,2,0),0)</f>
        <v>8544119</v>
      </c>
      <c r="AJ310" s="95">
        <v>0</v>
      </c>
    </row>
    <row r="311" spans="1:36" x14ac:dyDescent="0.3">
      <c r="A311" s="81">
        <v>90729128</v>
      </c>
      <c r="B311" s="5">
        <v>1037628984.9999999</v>
      </c>
      <c r="C311" s="36" t="s">
        <v>3285</v>
      </c>
      <c r="D311" s="36" t="s">
        <v>3456</v>
      </c>
      <c r="E311" s="39">
        <v>30</v>
      </c>
      <c r="F311" s="37">
        <v>0</v>
      </c>
      <c r="G311" s="37">
        <v>0</v>
      </c>
      <c r="H311" s="38">
        <v>4983721</v>
      </c>
      <c r="I311" s="39">
        <v>4983721</v>
      </c>
      <c r="J311" s="38">
        <v>700300</v>
      </c>
      <c r="K311" s="39">
        <v>5684021</v>
      </c>
      <c r="L311" s="39">
        <v>2273608</v>
      </c>
      <c r="M311" s="39"/>
      <c r="N311" s="39"/>
      <c r="O311" s="39"/>
      <c r="P311" s="38">
        <v>4695190</v>
      </c>
      <c r="Q311" s="39">
        <v>0</v>
      </c>
      <c r="R311" s="39">
        <v>0</v>
      </c>
      <c r="S311" s="40"/>
      <c r="T311" s="38">
        <v>0</v>
      </c>
      <c r="U311" s="40"/>
      <c r="V311" s="40">
        <v>199349</v>
      </c>
      <c r="W311" s="42"/>
      <c r="X311" s="40"/>
      <c r="Y311" s="40">
        <v>199349</v>
      </c>
      <c r="Z311" s="42"/>
      <c r="AA311" s="40"/>
      <c r="AB311" s="40"/>
      <c r="AC311" s="40">
        <v>0</v>
      </c>
      <c r="AD311" s="42"/>
      <c r="AF311">
        <f>VLOOKUP(A311,Devengos!$A$4:$I$389,9,0)</f>
        <v>4616500</v>
      </c>
      <c r="AG311">
        <f t="shared" si="217"/>
        <v>4616500</v>
      </c>
      <c r="AH311">
        <f>IFERROR(VLOOKUP(B311,'Planilla Mes anterior'!$CX:$CY,2,0),0)</f>
        <v>4695190</v>
      </c>
      <c r="AJ311" s="95">
        <v>0</v>
      </c>
    </row>
    <row r="312" spans="1:36" x14ac:dyDescent="0.3">
      <c r="A312" s="81">
        <v>90729453</v>
      </c>
      <c r="B312" s="5">
        <v>1125229040</v>
      </c>
      <c r="C312" s="36" t="s">
        <v>3327</v>
      </c>
      <c r="D312" s="36" t="s">
        <v>3456</v>
      </c>
      <c r="E312" s="39">
        <v>30</v>
      </c>
      <c r="F312" s="37">
        <v>0</v>
      </c>
      <c r="G312" s="37">
        <v>0</v>
      </c>
      <c r="H312" s="38">
        <v>9875250</v>
      </c>
      <c r="I312" s="39">
        <v>9875250</v>
      </c>
      <c r="J312" s="38">
        <v>799100</v>
      </c>
      <c r="K312" s="39">
        <v>10674350</v>
      </c>
      <c r="L312" s="39">
        <v>4269740</v>
      </c>
      <c r="M312" s="39"/>
      <c r="N312" s="39"/>
      <c r="O312" s="39"/>
      <c r="P312" s="38">
        <v>9875250</v>
      </c>
      <c r="Q312" s="39">
        <v>0</v>
      </c>
      <c r="R312" s="39">
        <v>0</v>
      </c>
      <c r="S312" s="40"/>
      <c r="T312" s="38">
        <v>0</v>
      </c>
      <c r="U312" s="40"/>
      <c r="V312" s="40">
        <v>395010</v>
      </c>
      <c r="W312" s="42"/>
      <c r="X312" s="40"/>
      <c r="Y312" s="40">
        <v>395010</v>
      </c>
      <c r="Z312" s="42"/>
      <c r="AA312" s="40"/>
      <c r="AB312" s="40"/>
      <c r="AC312" s="40">
        <v>98800</v>
      </c>
      <c r="AD312" s="42"/>
      <c r="AF312">
        <f>VLOOKUP(A312,Devengos!$A$4:$I$389,9,0)</f>
        <v>9875250</v>
      </c>
      <c r="AG312">
        <f t="shared" si="217"/>
        <v>9875250</v>
      </c>
      <c r="AH312">
        <f>IFERROR(VLOOKUP(B312,'Planilla Mes anterior'!$CX:$CY,2,0),0)</f>
        <v>9875250</v>
      </c>
      <c r="AJ312" s="95">
        <v>0</v>
      </c>
    </row>
    <row r="313" spans="1:36" x14ac:dyDescent="0.3">
      <c r="A313" s="81">
        <v>90729510</v>
      </c>
      <c r="B313" s="5">
        <v>1010121854</v>
      </c>
      <c r="C313" s="36" t="s">
        <v>3332</v>
      </c>
      <c r="D313" s="36" t="s">
        <v>3456</v>
      </c>
      <c r="E313" s="39">
        <v>30</v>
      </c>
      <c r="F313" s="37">
        <v>0</v>
      </c>
      <c r="G313" s="37">
        <v>0</v>
      </c>
      <c r="H313" s="38">
        <v>12196099</v>
      </c>
      <c r="I313" s="39">
        <v>12196099</v>
      </c>
      <c r="J313" s="38">
        <v>822300</v>
      </c>
      <c r="K313" s="39">
        <v>13018399</v>
      </c>
      <c r="L313" s="39">
        <v>5207360</v>
      </c>
      <c r="M313" s="39"/>
      <c r="N313" s="39"/>
      <c r="O313" s="39"/>
      <c r="P313" s="38">
        <v>13499469</v>
      </c>
      <c r="Q313" s="39">
        <v>0</v>
      </c>
      <c r="R313" s="39">
        <v>0</v>
      </c>
      <c r="S313" s="40"/>
      <c r="T313" s="38">
        <v>0</v>
      </c>
      <c r="U313" s="40"/>
      <c r="V313" s="40">
        <v>487844</v>
      </c>
      <c r="W313" s="42"/>
      <c r="X313" s="40"/>
      <c r="Y313" s="40">
        <v>487844</v>
      </c>
      <c r="Z313" s="42"/>
      <c r="AA313" s="40"/>
      <c r="AB313" s="40"/>
      <c r="AC313" s="40">
        <v>122000</v>
      </c>
      <c r="AD313" s="42"/>
      <c r="AF313">
        <f>VLOOKUP(A313,Devengos!$A$4:$I$389,9,0)</f>
        <v>8988750</v>
      </c>
      <c r="AG313">
        <f t="shared" si="217"/>
        <v>8988750</v>
      </c>
      <c r="AH313">
        <f>IFERROR(VLOOKUP(B313,'Planilla Mes anterior'!$CX:$CY,2,0),0)</f>
        <v>13499469</v>
      </c>
      <c r="AJ313" s="95">
        <v>0</v>
      </c>
    </row>
    <row r="314" spans="1:36" x14ac:dyDescent="0.3">
      <c r="A314" s="81">
        <v>90729530</v>
      </c>
      <c r="B314" s="5">
        <v>80865281</v>
      </c>
      <c r="C314" s="36" t="s">
        <v>3439</v>
      </c>
      <c r="D314" s="36" t="s">
        <v>3456</v>
      </c>
      <c r="E314" s="39">
        <v>30</v>
      </c>
      <c r="F314" s="37">
        <v>0</v>
      </c>
      <c r="G314" s="37">
        <v>0</v>
      </c>
      <c r="H314" s="38">
        <v>11960000</v>
      </c>
      <c r="I314" s="39">
        <v>11960000</v>
      </c>
      <c r="J314" s="38">
        <v>819900</v>
      </c>
      <c r="K314" s="39">
        <v>12779900</v>
      </c>
      <c r="L314" s="39">
        <v>5111960</v>
      </c>
      <c r="M314" s="39"/>
      <c r="N314" s="39"/>
      <c r="O314" s="39"/>
      <c r="P314" s="38">
        <v>11960000</v>
      </c>
      <c r="Q314" s="39">
        <v>0</v>
      </c>
      <c r="R314" s="39">
        <v>0</v>
      </c>
      <c r="S314" s="40"/>
      <c r="T314" s="38">
        <v>0</v>
      </c>
      <c r="U314" s="40"/>
      <c r="V314" s="40">
        <v>478400</v>
      </c>
      <c r="W314" s="42"/>
      <c r="X314" s="40"/>
      <c r="Y314" s="40">
        <v>478400</v>
      </c>
      <c r="Z314" s="42"/>
      <c r="AA314" s="40"/>
      <c r="AB314" s="40"/>
      <c r="AC314" s="40">
        <v>119600</v>
      </c>
      <c r="AD314" s="42"/>
      <c r="AF314">
        <f>VLOOKUP(A314,Devengos!$A$4:$I$389,9,0)</f>
        <v>11960000</v>
      </c>
      <c r="AG314">
        <f t="shared" si="217"/>
        <v>11960000</v>
      </c>
      <c r="AH314">
        <f>IFERROR(VLOOKUP(B314,'Planilla Mes anterior'!$CX:$CY,2,0),0)</f>
        <v>11960000</v>
      </c>
      <c r="AJ314" s="95">
        <v>0</v>
      </c>
    </row>
    <row r="315" spans="1:36" x14ac:dyDescent="0.3">
      <c r="A315" s="81">
        <v>90729928</v>
      </c>
      <c r="B315" s="5">
        <v>80206815</v>
      </c>
      <c r="C315" s="36" t="s">
        <v>3442</v>
      </c>
      <c r="D315" s="36" t="s">
        <v>3456</v>
      </c>
      <c r="E315" s="39">
        <v>31</v>
      </c>
      <c r="F315" s="37">
        <v>0</v>
      </c>
      <c r="G315" s="37">
        <v>0</v>
      </c>
      <c r="H315" s="38">
        <v>17533044</v>
      </c>
      <c r="I315" s="39">
        <v>17533044</v>
      </c>
      <c r="J315" s="38">
        <v>875700</v>
      </c>
      <c r="K315" s="39">
        <v>18408744</v>
      </c>
      <c r="L315" s="39">
        <v>7363498</v>
      </c>
      <c r="M315" s="39"/>
      <c r="N315" s="39"/>
      <c r="O315" s="39"/>
      <c r="P315" s="38">
        <v>10469755</v>
      </c>
      <c r="Q315" s="39">
        <v>0</v>
      </c>
      <c r="R315" s="39">
        <v>0</v>
      </c>
      <c r="S315" s="40"/>
      <c r="T315" s="38">
        <v>0</v>
      </c>
      <c r="U315" s="40"/>
      <c r="V315" s="40">
        <v>701322</v>
      </c>
      <c r="W315" s="42"/>
      <c r="X315" s="40"/>
      <c r="Y315" s="40">
        <v>701322</v>
      </c>
      <c r="Z315" s="42"/>
      <c r="AA315" s="40"/>
      <c r="AB315" s="40"/>
      <c r="AC315" s="40">
        <v>175400</v>
      </c>
      <c r="AD315" s="42"/>
      <c r="AF315">
        <f>VLOOKUP(A315,Devengos!$A$4:$I$389,9,0)</f>
        <v>10469755.0483</v>
      </c>
      <c r="AG315">
        <f t="shared" si="217"/>
        <v>10469755.0483</v>
      </c>
      <c r="AH315">
        <f>IFERROR(VLOOKUP(B315,'Planilla Mes anterior'!$CX:$CY,2,0),0)</f>
        <v>10469755</v>
      </c>
      <c r="AJ315" s="95">
        <v>0</v>
      </c>
    </row>
    <row r="316" spans="1:36" x14ac:dyDescent="0.3">
      <c r="A316" s="81">
        <v>90729946</v>
      </c>
      <c r="B316" s="5">
        <v>98711185</v>
      </c>
      <c r="C316" s="36" t="s">
        <v>3449</v>
      </c>
      <c r="D316" s="36" t="s">
        <v>3344</v>
      </c>
      <c r="E316" s="39">
        <v>30</v>
      </c>
      <c r="F316" s="37">
        <v>0</v>
      </c>
      <c r="G316" s="37">
        <v>0</v>
      </c>
      <c r="H316" s="38">
        <v>22761765</v>
      </c>
      <c r="I316" s="39">
        <v>15933235</v>
      </c>
      <c r="J316" s="38">
        <v>859700</v>
      </c>
      <c r="K316" s="39">
        <v>23621465</v>
      </c>
      <c r="L316" s="39">
        <v>9448586</v>
      </c>
      <c r="M316" s="39"/>
      <c r="N316" s="39"/>
      <c r="O316" s="39"/>
      <c r="P316" s="38">
        <v>22761765.714</v>
      </c>
      <c r="Q316" s="39">
        <v>0</v>
      </c>
      <c r="R316" s="39">
        <v>0</v>
      </c>
      <c r="S316" s="40"/>
      <c r="T316" s="38"/>
      <c r="U316" s="40"/>
      <c r="V316" s="40">
        <v>637329</v>
      </c>
      <c r="W316" s="42"/>
      <c r="X316" s="40"/>
      <c r="Y316" s="40">
        <v>637329</v>
      </c>
      <c r="Z316" s="42"/>
      <c r="AA316" s="40"/>
      <c r="AB316" s="40"/>
      <c r="AC316" s="40">
        <v>159400</v>
      </c>
      <c r="AD316" s="42"/>
      <c r="AF316">
        <f>VLOOKUP(A316,Devengos!$A$4:$I$389,9,0)</f>
        <v>22761765</v>
      </c>
      <c r="AG316">
        <f t="shared" si="217"/>
        <v>15933236</v>
      </c>
      <c r="AH316">
        <f>IFERROR(VLOOKUP(B316,'Planilla Mes anterior'!$CX:$CY,2,0),0)</f>
        <v>15933236</v>
      </c>
      <c r="AJ316" s="95">
        <v>0</v>
      </c>
    </row>
    <row r="317" spans="1:36" x14ac:dyDescent="0.3">
      <c r="A317" s="81">
        <v>90730378</v>
      </c>
      <c r="B317" s="5">
        <v>1021632652.9999999</v>
      </c>
      <c r="C317" s="36" t="s">
        <v>3506</v>
      </c>
      <c r="D317" s="36" t="s">
        <v>3456</v>
      </c>
      <c r="E317" s="39">
        <v>26</v>
      </c>
      <c r="F317" s="37">
        <v>0</v>
      </c>
      <c r="G317" s="37">
        <v>0</v>
      </c>
      <c r="H317" s="38">
        <v>3042000</v>
      </c>
      <c r="I317" s="39">
        <v>3042000</v>
      </c>
      <c r="J317" s="38">
        <v>455173</v>
      </c>
      <c r="K317" s="39">
        <v>3497173</v>
      </c>
      <c r="L317" s="39">
        <v>1398869</v>
      </c>
      <c r="M317" s="39"/>
      <c r="N317" s="39"/>
      <c r="O317" s="39"/>
      <c r="P317" s="38">
        <v>0</v>
      </c>
      <c r="Q317" s="39">
        <v>0</v>
      </c>
      <c r="R317" s="39">
        <v>0</v>
      </c>
      <c r="S317" s="40"/>
      <c r="T317" s="38">
        <v>0</v>
      </c>
      <c r="U317" s="40"/>
      <c r="V317" s="40">
        <v>121680</v>
      </c>
      <c r="W317" s="42"/>
      <c r="X317" s="40"/>
      <c r="Y317" s="40">
        <v>121680</v>
      </c>
      <c r="Z317" s="42"/>
      <c r="AA317" s="40"/>
      <c r="AB317" s="40"/>
      <c r="AC317" s="40">
        <v>0</v>
      </c>
      <c r="AD317" s="42"/>
      <c r="AF317">
        <f>VLOOKUP(A317,Devengos!$A$4:$I$389,9,0)</f>
        <v>3510000</v>
      </c>
      <c r="AG317">
        <f t="shared" si="217"/>
        <v>3510000</v>
      </c>
      <c r="AH317">
        <f>IFERROR(VLOOKUP(B317,'Planilla Mes anterior'!$CX:$CY,2,0),0)</f>
        <v>0</v>
      </c>
      <c r="AJ317" s="95">
        <v>0</v>
      </c>
    </row>
    <row r="318" spans="1:36" x14ac:dyDescent="0.3">
      <c r="A318" s="81">
        <v>90730435</v>
      </c>
      <c r="B318" s="5">
        <v>1061730364.9999999</v>
      </c>
      <c r="C318" s="36" t="s">
        <v>3885</v>
      </c>
      <c r="D318" s="36" t="s">
        <v>3344</v>
      </c>
      <c r="E318" s="39">
        <v>30</v>
      </c>
      <c r="F318" s="37">
        <v>0</v>
      </c>
      <c r="G318" s="37">
        <v>0</v>
      </c>
      <c r="H318" s="38">
        <v>22761765</v>
      </c>
      <c r="I318" s="39">
        <v>15933235</v>
      </c>
      <c r="J318" s="38">
        <v>859700</v>
      </c>
      <c r="K318" s="39">
        <v>23621465</v>
      </c>
      <c r="L318" s="39">
        <v>9448586</v>
      </c>
      <c r="M318" s="39"/>
      <c r="N318" s="39"/>
      <c r="O318" s="39"/>
      <c r="P318" s="38">
        <v>15933236</v>
      </c>
      <c r="Q318" s="39">
        <v>0</v>
      </c>
      <c r="R318" s="39">
        <v>0</v>
      </c>
      <c r="S318" s="40"/>
      <c r="T318" s="38"/>
      <c r="U318" s="40"/>
      <c r="V318" s="40">
        <v>637329</v>
      </c>
      <c r="W318" s="42"/>
      <c r="X318" s="40"/>
      <c r="Y318" s="40">
        <v>637329</v>
      </c>
      <c r="Z318" s="42"/>
      <c r="AA318" s="40"/>
      <c r="AB318" s="40"/>
      <c r="AC318" s="40">
        <v>159400</v>
      </c>
      <c r="AD318" s="42"/>
      <c r="AF318">
        <f>VLOOKUP(A318,Devengos!$A$4:$I$389,9,0)</f>
        <v>22761765</v>
      </c>
      <c r="AG318">
        <f t="shared" si="217"/>
        <v>15933236</v>
      </c>
      <c r="AH318">
        <f>IFERROR(VLOOKUP(B318,'Planilla Mes anterior'!$CX:$CY,2,0),0)</f>
        <v>15933236</v>
      </c>
      <c r="AJ318" s="95">
        <v>0</v>
      </c>
    </row>
    <row r="319" spans="1:36" x14ac:dyDescent="0.3">
      <c r="A319" s="81">
        <v>90730436</v>
      </c>
      <c r="B319" s="5">
        <v>1015443315.0000001</v>
      </c>
      <c r="C319" s="36" t="s">
        <v>3508</v>
      </c>
      <c r="D319" s="36" t="s">
        <v>3456</v>
      </c>
      <c r="E319" s="39">
        <v>30</v>
      </c>
      <c r="F319" s="37">
        <v>0</v>
      </c>
      <c r="G319" s="37">
        <v>0</v>
      </c>
      <c r="H319" s="38">
        <v>11500000</v>
      </c>
      <c r="I319" s="39">
        <v>11500000</v>
      </c>
      <c r="J319" s="38">
        <v>815300</v>
      </c>
      <c r="K319" s="39">
        <v>12315300</v>
      </c>
      <c r="L319" s="39">
        <v>4926120</v>
      </c>
      <c r="M319" s="39"/>
      <c r="N319" s="39"/>
      <c r="O319" s="39"/>
      <c r="P319" s="38">
        <v>11500000</v>
      </c>
      <c r="Q319" s="39">
        <v>0</v>
      </c>
      <c r="R319" s="39">
        <v>0</v>
      </c>
      <c r="S319" s="40"/>
      <c r="T319" s="38">
        <v>0</v>
      </c>
      <c r="U319" s="40"/>
      <c r="V319" s="40">
        <v>460000</v>
      </c>
      <c r="W319" s="42"/>
      <c r="X319" s="40"/>
      <c r="Y319" s="40">
        <v>460000</v>
      </c>
      <c r="Z319" s="42"/>
      <c r="AA319" s="40"/>
      <c r="AB319" s="40"/>
      <c r="AC319" s="40">
        <v>115000</v>
      </c>
      <c r="AD319" s="42"/>
      <c r="AF319">
        <f>VLOOKUP(A319,Devengos!$A$4:$I$389,9,0)</f>
        <v>11500000</v>
      </c>
      <c r="AG319">
        <f t="shared" si="217"/>
        <v>11500000</v>
      </c>
      <c r="AH319">
        <f>IFERROR(VLOOKUP(B319,'Planilla Mes anterior'!$CX:$CY,2,0),0)</f>
        <v>11500000</v>
      </c>
      <c r="AJ319" s="95">
        <v>0</v>
      </c>
    </row>
    <row r="320" spans="1:36" x14ac:dyDescent="0.3">
      <c r="A320" s="81">
        <v>90730533</v>
      </c>
      <c r="B320" s="5">
        <v>1193373921</v>
      </c>
      <c r="C320" s="36" t="s">
        <v>3510</v>
      </c>
      <c r="D320" s="36" t="s">
        <v>3456</v>
      </c>
      <c r="E320" s="39">
        <v>30</v>
      </c>
      <c r="F320" s="37">
        <v>0</v>
      </c>
      <c r="G320" s="37">
        <v>0</v>
      </c>
      <c r="H320" s="38">
        <v>4230000</v>
      </c>
      <c r="I320" s="39">
        <v>4230000</v>
      </c>
      <c r="J320" s="38">
        <v>700300</v>
      </c>
      <c r="K320" s="39">
        <v>4930300</v>
      </c>
      <c r="L320" s="39">
        <v>1972120</v>
      </c>
      <c r="M320" s="39"/>
      <c r="N320" s="39"/>
      <c r="O320" s="39"/>
      <c r="P320" s="38">
        <v>4576091</v>
      </c>
      <c r="Q320" s="39">
        <v>0</v>
      </c>
      <c r="R320" s="39">
        <v>0</v>
      </c>
      <c r="S320" s="40"/>
      <c r="T320" s="38">
        <v>0</v>
      </c>
      <c r="U320" s="40"/>
      <c r="V320" s="40">
        <v>169200</v>
      </c>
      <c r="W320" s="42"/>
      <c r="X320" s="40"/>
      <c r="Y320" s="40">
        <v>169200</v>
      </c>
      <c r="Z320" s="42"/>
      <c r="AA320" s="40"/>
      <c r="AB320" s="40"/>
      <c r="AC320" s="40">
        <v>0</v>
      </c>
      <c r="AD320" s="42"/>
      <c r="AF320">
        <f>VLOOKUP(A320,Devengos!$A$4:$I$389,9,0)</f>
        <v>4230000</v>
      </c>
      <c r="AG320">
        <f t="shared" si="217"/>
        <v>4230000</v>
      </c>
      <c r="AH320">
        <f>IFERROR(VLOOKUP(B320,'Planilla Mes anterior'!$CX:$CY,2,0),0)</f>
        <v>4576091</v>
      </c>
      <c r="AJ320" s="95">
        <v>0</v>
      </c>
    </row>
    <row r="321" spans="1:36" x14ac:dyDescent="0.3">
      <c r="A321" s="81">
        <v>90730591</v>
      </c>
      <c r="B321" s="5">
        <v>1000617060</v>
      </c>
      <c r="C321" s="36" t="s">
        <v>3511</v>
      </c>
      <c r="D321" s="36" t="s">
        <v>3456</v>
      </c>
      <c r="E321" s="39">
        <v>31</v>
      </c>
      <c r="F321" s="37">
        <v>0</v>
      </c>
      <c r="G321" s="37">
        <v>0</v>
      </c>
      <c r="H321" s="38">
        <v>5905233</v>
      </c>
      <c r="I321" s="39">
        <v>5905233</v>
      </c>
      <c r="J321" s="38">
        <v>700300</v>
      </c>
      <c r="K321" s="39">
        <v>6605533</v>
      </c>
      <c r="L321" s="39">
        <v>2642213</v>
      </c>
      <c r="M321" s="39"/>
      <c r="N321" s="39"/>
      <c r="O321" s="39"/>
      <c r="P321" s="38">
        <v>5629759</v>
      </c>
      <c r="Q321" s="39">
        <v>0</v>
      </c>
      <c r="R321" s="39">
        <v>0</v>
      </c>
      <c r="S321" s="40"/>
      <c r="T321" s="38">
        <v>0</v>
      </c>
      <c r="U321" s="40"/>
      <c r="V321" s="40">
        <v>236209</v>
      </c>
      <c r="W321" s="42"/>
      <c r="X321" s="40"/>
      <c r="Y321" s="40">
        <v>236209</v>
      </c>
      <c r="Z321" s="42"/>
      <c r="AA321" s="40"/>
      <c r="AB321" s="40"/>
      <c r="AC321" s="40">
        <v>0</v>
      </c>
      <c r="AD321" s="42"/>
      <c r="AF321">
        <f>VLOOKUP(A321,Devengos!$A$4:$I$389,9,0)</f>
        <v>4768221</v>
      </c>
      <c r="AG321">
        <f t="shared" si="217"/>
        <v>4768221</v>
      </c>
      <c r="AH321">
        <f>IFERROR(VLOOKUP(B321,'Planilla Mes anterior'!$CX:$CY,2,0),0)</f>
        <v>5629759</v>
      </c>
      <c r="AJ321" s="95">
        <v>0</v>
      </c>
    </row>
    <row r="322" spans="1:36" x14ac:dyDescent="0.3">
      <c r="A322" s="81">
        <v>90731141</v>
      </c>
      <c r="B322" s="5">
        <v>1152471218</v>
      </c>
      <c r="C322" s="36" t="s">
        <v>3844</v>
      </c>
      <c r="D322" s="36" t="s">
        <v>3456</v>
      </c>
      <c r="E322" s="39">
        <v>30</v>
      </c>
      <c r="F322" s="37">
        <v>0</v>
      </c>
      <c r="G322" s="37">
        <v>0</v>
      </c>
      <c r="H322" s="38">
        <v>13075000</v>
      </c>
      <c r="I322" s="39">
        <v>13075000</v>
      </c>
      <c r="J322" s="38">
        <v>831100</v>
      </c>
      <c r="K322" s="39">
        <v>13906100</v>
      </c>
      <c r="L322" s="39">
        <v>5562440</v>
      </c>
      <c r="M322" s="39"/>
      <c r="N322" s="39"/>
      <c r="O322" s="39"/>
      <c r="P322" s="38">
        <v>13075000</v>
      </c>
      <c r="Q322" s="39">
        <v>0</v>
      </c>
      <c r="R322" s="39">
        <v>0</v>
      </c>
      <c r="S322" s="40"/>
      <c r="T322" s="38">
        <v>0</v>
      </c>
      <c r="U322" s="40"/>
      <c r="V322" s="40">
        <v>523000</v>
      </c>
      <c r="W322" s="42"/>
      <c r="X322" s="40"/>
      <c r="Y322" s="40">
        <v>523000</v>
      </c>
      <c r="Z322" s="42"/>
      <c r="AA322" s="40"/>
      <c r="AB322" s="40"/>
      <c r="AC322" s="40">
        <v>130800</v>
      </c>
      <c r="AD322" s="42"/>
      <c r="AF322">
        <f>VLOOKUP(A322,Devengos!$A$4:$I$389,9,0)</f>
        <v>13075000</v>
      </c>
      <c r="AG322">
        <f t="shared" si="217"/>
        <v>13075000</v>
      </c>
      <c r="AH322">
        <f>IFERROR(VLOOKUP(B322,'Planilla Mes anterior'!$CX:$CY,2,0),0)</f>
        <v>13075000</v>
      </c>
      <c r="AJ322" s="95">
        <v>0</v>
      </c>
    </row>
    <row r="323" spans="1:36" x14ac:dyDescent="0.3">
      <c r="A323" s="81">
        <v>90731176</v>
      </c>
      <c r="B323" s="5">
        <v>1058546120</v>
      </c>
      <c r="C323" s="36" t="s">
        <v>3850</v>
      </c>
      <c r="D323" s="36" t="s">
        <v>3456</v>
      </c>
      <c r="E323" s="39">
        <v>30</v>
      </c>
      <c r="F323" s="37">
        <v>0</v>
      </c>
      <c r="G323" s="37">
        <v>0</v>
      </c>
      <c r="H323" s="38">
        <v>2000000</v>
      </c>
      <c r="I323" s="39">
        <v>2000000</v>
      </c>
      <c r="J323" s="38">
        <v>700300</v>
      </c>
      <c r="K323" s="39">
        <v>2700300</v>
      </c>
      <c r="L323" s="39">
        <v>1080120</v>
      </c>
      <c r="M323" s="39"/>
      <c r="N323" s="39"/>
      <c r="O323" s="39"/>
      <c r="P323" s="38">
        <v>2000000</v>
      </c>
      <c r="Q323" s="39">
        <v>0</v>
      </c>
      <c r="R323" s="39">
        <v>0</v>
      </c>
      <c r="S323" s="40"/>
      <c r="T323" s="38">
        <v>0</v>
      </c>
      <c r="U323" s="40"/>
      <c r="V323" s="40">
        <v>80000</v>
      </c>
      <c r="W323" s="42"/>
      <c r="X323" s="40"/>
      <c r="Y323" s="40">
        <v>80000</v>
      </c>
      <c r="Z323" s="42"/>
      <c r="AA323" s="40"/>
      <c r="AB323" s="40"/>
      <c r="AC323" s="40">
        <v>0</v>
      </c>
      <c r="AD323" s="42"/>
      <c r="AF323">
        <f>VLOOKUP(A323,Devengos!$A$4:$I$389,9,0)</f>
        <v>2000000</v>
      </c>
      <c r="AG323">
        <f t="shared" si="217"/>
        <v>2000000</v>
      </c>
      <c r="AH323">
        <f>IFERROR(VLOOKUP(B323,'Planilla Mes anterior'!$CX:$CY,2,0),0)</f>
        <v>2000000</v>
      </c>
      <c r="AJ323" s="95">
        <v>0</v>
      </c>
    </row>
    <row r="324" spans="1:36" x14ac:dyDescent="0.3">
      <c r="A324" s="81">
        <v>90731178</v>
      </c>
      <c r="B324" s="5">
        <v>1002537276.9999999</v>
      </c>
      <c r="C324" s="36" t="s">
        <v>3853</v>
      </c>
      <c r="D324" s="36" t="s">
        <v>3456</v>
      </c>
      <c r="E324" s="39">
        <v>30</v>
      </c>
      <c r="F324" s="37">
        <v>1</v>
      </c>
      <c r="G324" s="37">
        <v>0</v>
      </c>
      <c r="H324" s="38">
        <v>1933333</v>
      </c>
      <c r="I324" s="39">
        <v>1933333</v>
      </c>
      <c r="J324" s="38">
        <v>700300</v>
      </c>
      <c r="K324" s="39">
        <v>2633633</v>
      </c>
      <c r="L324" s="39">
        <v>1053453</v>
      </c>
      <c r="M324" s="39"/>
      <c r="N324" s="39"/>
      <c r="O324" s="39"/>
      <c r="P324" s="38">
        <v>2000000</v>
      </c>
      <c r="Q324" s="39">
        <v>66667</v>
      </c>
      <c r="R324" s="39">
        <v>0</v>
      </c>
      <c r="S324" s="40"/>
      <c r="T324" s="38">
        <v>0</v>
      </c>
      <c r="U324" s="40"/>
      <c r="V324" s="40">
        <v>80000</v>
      </c>
      <c r="W324" s="42"/>
      <c r="X324" s="40"/>
      <c r="Y324" s="40">
        <v>80000</v>
      </c>
      <c r="Z324" s="42"/>
      <c r="AA324" s="40"/>
      <c r="AB324" s="40"/>
      <c r="AC324" s="40">
        <v>0</v>
      </c>
      <c r="AD324" s="42"/>
      <c r="AF324">
        <f>VLOOKUP(A324,Devengos!$A$4:$I$389,9,0)</f>
        <v>2000000</v>
      </c>
      <c r="AG324">
        <f t="shared" ref="AG324:AG353" si="239">IF(D324="Integral",ROUND(AF324*70%,0),AF324)</f>
        <v>2000000</v>
      </c>
      <c r="AH324">
        <f>IFERROR(VLOOKUP(B324,'Planilla Mes anterior'!$CX:$CY,2,0),0)</f>
        <v>2000000</v>
      </c>
      <c r="AJ324" s="95">
        <v>0</v>
      </c>
    </row>
    <row r="325" spans="1:36" x14ac:dyDescent="0.3">
      <c r="A325" s="81">
        <v>90731598</v>
      </c>
      <c r="B325" s="5">
        <v>1000594404.9999999</v>
      </c>
      <c r="C325" s="36" t="s">
        <v>3889</v>
      </c>
      <c r="D325" s="36" t="s">
        <v>3456</v>
      </c>
      <c r="E325" s="39">
        <v>30</v>
      </c>
      <c r="F325" s="37">
        <v>0</v>
      </c>
      <c r="G325" s="37">
        <v>0</v>
      </c>
      <c r="H325" s="38">
        <v>2000000</v>
      </c>
      <c r="I325" s="39">
        <v>2000000</v>
      </c>
      <c r="J325" s="38">
        <v>700300</v>
      </c>
      <c r="K325" s="39">
        <v>2700300</v>
      </c>
      <c r="L325" s="39">
        <v>1080120</v>
      </c>
      <c r="M325" s="39"/>
      <c r="N325" s="39"/>
      <c r="O325" s="39"/>
      <c r="P325" s="38">
        <v>2000000</v>
      </c>
      <c r="Q325" s="39">
        <v>0</v>
      </c>
      <c r="R325" s="39">
        <v>0</v>
      </c>
      <c r="S325" s="40"/>
      <c r="T325" s="38">
        <v>0</v>
      </c>
      <c r="U325" s="40"/>
      <c r="V325" s="40">
        <v>80000</v>
      </c>
      <c r="W325" s="42"/>
      <c r="X325" s="40"/>
      <c r="Y325" s="40">
        <v>80000</v>
      </c>
      <c r="Z325" s="42"/>
      <c r="AA325" s="40"/>
      <c r="AB325" s="40"/>
      <c r="AC325" s="40">
        <v>0</v>
      </c>
      <c r="AD325" s="42"/>
      <c r="AF325">
        <f>VLOOKUP(A325,Devengos!$A$4:$I$389,9,0)</f>
        <v>2000000</v>
      </c>
      <c r="AG325">
        <f t="shared" si="239"/>
        <v>2000000</v>
      </c>
      <c r="AH325">
        <f>IFERROR(VLOOKUP(B325,'Planilla Mes anterior'!$CX:$CY,2,0),0)</f>
        <v>2000000</v>
      </c>
      <c r="AJ325" s="95">
        <v>0</v>
      </c>
    </row>
    <row r="326" spans="1:36" x14ac:dyDescent="0.3">
      <c r="A326" s="81">
        <v>90731599</v>
      </c>
      <c r="B326" s="5">
        <v>10777994</v>
      </c>
      <c r="C326" s="36" t="s">
        <v>3894</v>
      </c>
      <c r="D326" s="36" t="s">
        <v>3344</v>
      </c>
      <c r="E326" s="39">
        <v>30</v>
      </c>
      <c r="F326" s="37">
        <v>0</v>
      </c>
      <c r="G326" s="37">
        <v>0</v>
      </c>
      <c r="H326" s="38">
        <v>22761765</v>
      </c>
      <c r="I326" s="39">
        <v>15933235</v>
      </c>
      <c r="J326" s="38">
        <v>859700</v>
      </c>
      <c r="K326" s="39">
        <v>23621465</v>
      </c>
      <c r="L326" s="39">
        <v>9448586</v>
      </c>
      <c r="M326" s="39"/>
      <c r="N326" s="39"/>
      <c r="O326" s="39"/>
      <c r="P326" s="38">
        <v>22761765.714</v>
      </c>
      <c r="Q326" s="39">
        <v>0</v>
      </c>
      <c r="R326" s="39">
        <v>0</v>
      </c>
      <c r="S326" s="40"/>
      <c r="T326" s="38"/>
      <c r="U326" s="40"/>
      <c r="V326" s="40">
        <v>637329</v>
      </c>
      <c r="W326" s="42"/>
      <c r="X326" s="40"/>
      <c r="Y326" s="40">
        <v>637329</v>
      </c>
      <c r="Z326" s="42"/>
      <c r="AA326" s="40"/>
      <c r="AB326" s="40"/>
      <c r="AC326" s="40">
        <v>159400</v>
      </c>
      <c r="AD326" s="42"/>
      <c r="AF326">
        <f>VLOOKUP(A326,Devengos!$A$4:$I$389,9,0)</f>
        <v>22761765</v>
      </c>
      <c r="AG326">
        <f t="shared" si="239"/>
        <v>15933236</v>
      </c>
      <c r="AH326">
        <f>IFERROR(VLOOKUP(B326,'Planilla Mes anterior'!$CX:$CY,2,0),0)</f>
        <v>15933236</v>
      </c>
      <c r="AJ326" s="95">
        <v>0</v>
      </c>
    </row>
    <row r="327" spans="1:36" x14ac:dyDescent="0.3">
      <c r="A327" s="81">
        <v>90732018</v>
      </c>
      <c r="B327" s="5">
        <v>1098663077</v>
      </c>
      <c r="C327" s="36" t="s">
        <v>4086</v>
      </c>
      <c r="D327" s="36" t="s">
        <v>3344</v>
      </c>
      <c r="E327" s="39">
        <v>30</v>
      </c>
      <c r="F327" s="37">
        <v>0</v>
      </c>
      <c r="G327" s="37">
        <v>0</v>
      </c>
      <c r="H327" s="38">
        <v>22761765</v>
      </c>
      <c r="I327" s="39">
        <v>15933235</v>
      </c>
      <c r="J327" s="38">
        <v>859700</v>
      </c>
      <c r="K327" s="39">
        <v>23621465</v>
      </c>
      <c r="L327" s="39">
        <v>9448586</v>
      </c>
      <c r="M327" s="39"/>
      <c r="N327" s="39"/>
      <c r="O327" s="39"/>
      <c r="P327" s="38">
        <v>22761765.714</v>
      </c>
      <c r="Q327" s="39">
        <v>0</v>
      </c>
      <c r="R327" s="39">
        <v>0</v>
      </c>
      <c r="S327" s="40"/>
      <c r="T327" s="38"/>
      <c r="U327" s="40"/>
      <c r="V327" s="40">
        <v>637329</v>
      </c>
      <c r="W327" s="42"/>
      <c r="X327" s="40"/>
      <c r="Y327" s="40">
        <v>637329</v>
      </c>
      <c r="Z327" s="42"/>
      <c r="AA327" s="40"/>
      <c r="AB327" s="40"/>
      <c r="AC327" s="40">
        <v>159400</v>
      </c>
      <c r="AD327" s="42"/>
      <c r="AF327">
        <f>VLOOKUP(A327,Devengos!$A$4:$I$389,9,0)</f>
        <v>22761765</v>
      </c>
      <c r="AG327">
        <f t="shared" si="239"/>
        <v>15933236</v>
      </c>
      <c r="AH327">
        <f>IFERROR(VLOOKUP(B327,'Planilla Mes anterior'!$CX:$CY,2,0),0)</f>
        <v>15933236</v>
      </c>
      <c r="AJ327" s="95">
        <v>0</v>
      </c>
    </row>
    <row r="328" spans="1:36" x14ac:dyDescent="0.3">
      <c r="A328" s="81">
        <v>90732019</v>
      </c>
      <c r="B328" s="5">
        <v>1006017722</v>
      </c>
      <c r="C328" s="36" t="s">
        <v>3941</v>
      </c>
      <c r="D328" s="36" t="s">
        <v>3456</v>
      </c>
      <c r="E328" s="39">
        <v>30</v>
      </c>
      <c r="F328" s="37">
        <v>0</v>
      </c>
      <c r="G328" s="37">
        <v>0</v>
      </c>
      <c r="H328" s="38">
        <v>2000000</v>
      </c>
      <c r="I328" s="39">
        <v>2000000</v>
      </c>
      <c r="J328" s="38">
        <v>700300</v>
      </c>
      <c r="K328" s="39">
        <v>2700300</v>
      </c>
      <c r="L328" s="39">
        <v>1080120</v>
      </c>
      <c r="M328" s="39"/>
      <c r="N328" s="39"/>
      <c r="O328" s="39"/>
      <c r="P328" s="38">
        <v>2000000</v>
      </c>
      <c r="Q328" s="39">
        <v>0</v>
      </c>
      <c r="R328" s="39">
        <v>0</v>
      </c>
      <c r="S328" s="40"/>
      <c r="T328" s="38">
        <v>0</v>
      </c>
      <c r="U328" s="40"/>
      <c r="V328" s="40">
        <v>80000</v>
      </c>
      <c r="W328" s="42"/>
      <c r="X328" s="40"/>
      <c r="Y328" s="40">
        <v>80000</v>
      </c>
      <c r="Z328" s="42"/>
      <c r="AA328" s="40"/>
      <c r="AB328" s="40"/>
      <c r="AC328" s="40">
        <v>0</v>
      </c>
      <c r="AD328" s="42"/>
      <c r="AF328">
        <f>VLOOKUP(A328,Devengos!$A$4:$I$389,9,0)</f>
        <v>2000000</v>
      </c>
      <c r="AG328">
        <f t="shared" si="239"/>
        <v>2000000</v>
      </c>
      <c r="AH328">
        <f>IFERROR(VLOOKUP(B328,'Planilla Mes anterior'!$CX:$CY,2,0),0)</f>
        <v>2000000</v>
      </c>
      <c r="AJ328" s="95">
        <v>0</v>
      </c>
    </row>
    <row r="329" spans="1:36" x14ac:dyDescent="0.3">
      <c r="A329" s="81">
        <v>90732100</v>
      </c>
      <c r="B329" s="5">
        <v>80770040</v>
      </c>
      <c r="C329" s="36" t="s">
        <v>3062</v>
      </c>
      <c r="D329" s="36" t="s">
        <v>3456</v>
      </c>
      <c r="E329" s="39">
        <v>31</v>
      </c>
      <c r="F329" s="37">
        <v>0</v>
      </c>
      <c r="G329" s="37">
        <v>0</v>
      </c>
      <c r="H329" s="38">
        <v>13546593</v>
      </c>
      <c r="I329" s="39">
        <v>13546593</v>
      </c>
      <c r="J329" s="38">
        <v>1545322</v>
      </c>
      <c r="K329" s="39">
        <v>15091915</v>
      </c>
      <c r="L329" s="39">
        <v>6036766</v>
      </c>
      <c r="M329" s="39"/>
      <c r="N329" s="39"/>
      <c r="O329" s="39"/>
      <c r="P329" s="38">
        <v>14730722</v>
      </c>
      <c r="Q329" s="39">
        <v>0</v>
      </c>
      <c r="R329" s="39">
        <v>0</v>
      </c>
      <c r="S329" s="40"/>
      <c r="T329" s="38">
        <v>0</v>
      </c>
      <c r="U329" s="40"/>
      <c r="V329" s="40">
        <v>541864</v>
      </c>
      <c r="W329" s="42"/>
      <c r="X329" s="40"/>
      <c r="Y329" s="40">
        <v>541864</v>
      </c>
      <c r="Z329" s="42"/>
      <c r="AA329" s="40"/>
      <c r="AB329" s="40"/>
      <c r="AC329" s="40">
        <v>135600</v>
      </c>
      <c r="AD329" s="42"/>
      <c r="AF329">
        <f>VLOOKUP(A329,Devengos!$A$4:$I$389,9,0)</f>
        <v>12485837</v>
      </c>
      <c r="AG329">
        <f t="shared" si="239"/>
        <v>12485837</v>
      </c>
      <c r="AH329">
        <f>IFERROR(VLOOKUP(B329,'Planilla Mes anterior'!$CX:$CY,2,0),0)</f>
        <v>14730722</v>
      </c>
      <c r="AJ329" s="95">
        <v>0</v>
      </c>
    </row>
    <row r="330" spans="1:36" x14ac:dyDescent="0.3">
      <c r="A330" s="81">
        <v>90732148</v>
      </c>
      <c r="B330" s="5">
        <v>1015457111.0000001</v>
      </c>
      <c r="C330" s="36" t="s">
        <v>3946</v>
      </c>
      <c r="D330" s="36" t="s">
        <v>3456</v>
      </c>
      <c r="E330" s="39">
        <v>30</v>
      </c>
      <c r="F330" s="37">
        <v>0</v>
      </c>
      <c r="G330" s="37">
        <v>0</v>
      </c>
      <c r="H330" s="38">
        <v>4700000</v>
      </c>
      <c r="I330" s="39">
        <v>4700000</v>
      </c>
      <c r="J330" s="38">
        <v>700300</v>
      </c>
      <c r="K330" s="39">
        <v>5400300</v>
      </c>
      <c r="L330" s="39">
        <v>2160120</v>
      </c>
      <c r="M330" s="39"/>
      <c r="N330" s="39"/>
      <c r="O330" s="39"/>
      <c r="P330" s="38">
        <v>4700000</v>
      </c>
      <c r="Q330" s="39">
        <v>0</v>
      </c>
      <c r="R330" s="39">
        <v>0</v>
      </c>
      <c r="S330" s="40"/>
      <c r="T330" s="38">
        <v>0</v>
      </c>
      <c r="U330" s="40"/>
      <c r="V330" s="40">
        <v>188000</v>
      </c>
      <c r="W330" s="42"/>
      <c r="X330" s="40"/>
      <c r="Y330" s="40">
        <v>188000</v>
      </c>
      <c r="Z330" s="42"/>
      <c r="AA330" s="40"/>
      <c r="AB330" s="40"/>
      <c r="AC330" s="40">
        <v>0</v>
      </c>
      <c r="AD330" s="42"/>
      <c r="AF330">
        <f>VLOOKUP(A330,Devengos!$A$4:$I$389,9,0)</f>
        <v>4700000</v>
      </c>
      <c r="AG330">
        <f t="shared" si="239"/>
        <v>4700000</v>
      </c>
      <c r="AH330">
        <f>IFERROR(VLOOKUP(B330,'Planilla Mes anterior'!$CX:$CY,2,0),0)</f>
        <v>4700000</v>
      </c>
      <c r="AJ330" s="95">
        <v>0</v>
      </c>
    </row>
    <row r="331" spans="1:36" x14ac:dyDescent="0.3">
      <c r="A331" s="81">
        <v>90732292</v>
      </c>
      <c r="B331" s="5">
        <v>21527646</v>
      </c>
      <c r="C331" s="36" t="s">
        <v>3995</v>
      </c>
      <c r="D331" s="36" t="s">
        <v>3456</v>
      </c>
      <c r="E331" s="39">
        <v>30</v>
      </c>
      <c r="F331" s="37">
        <v>0</v>
      </c>
      <c r="G331" s="37">
        <v>0</v>
      </c>
      <c r="H331" s="38">
        <v>12500000</v>
      </c>
      <c r="I331" s="39">
        <v>12500000</v>
      </c>
      <c r="J331" s="38">
        <v>825300</v>
      </c>
      <c r="K331" s="39">
        <v>13325300</v>
      </c>
      <c r="L331" s="39">
        <v>5330120</v>
      </c>
      <c r="M331" s="39"/>
      <c r="N331" s="39"/>
      <c r="O331" s="39"/>
      <c r="P331" s="38">
        <v>12500000</v>
      </c>
      <c r="Q331" s="39">
        <v>0</v>
      </c>
      <c r="R331" s="39">
        <v>0</v>
      </c>
      <c r="S331" s="40"/>
      <c r="T331" s="38">
        <v>0</v>
      </c>
      <c r="U331" s="40"/>
      <c r="V331" s="40">
        <v>500000</v>
      </c>
      <c r="W331" s="42"/>
      <c r="X331" s="40"/>
      <c r="Y331" s="40">
        <v>500000</v>
      </c>
      <c r="Z331" s="42"/>
      <c r="AA331" s="40"/>
      <c r="AB331" s="40"/>
      <c r="AC331" s="40">
        <v>125000</v>
      </c>
      <c r="AD331" s="42"/>
      <c r="AF331">
        <f>VLOOKUP(A331,Devengos!$A$4:$I$389,9,0)</f>
        <v>12500000</v>
      </c>
      <c r="AG331">
        <f t="shared" si="239"/>
        <v>12500000</v>
      </c>
      <c r="AH331">
        <f>IFERROR(VLOOKUP(B331,'Planilla Mes anterior'!$CX:$CY,2,0),0)</f>
        <v>12500000</v>
      </c>
      <c r="AJ331" s="95">
        <v>0</v>
      </c>
    </row>
    <row r="332" spans="1:36" x14ac:dyDescent="0.3">
      <c r="A332" s="81">
        <v>90732300</v>
      </c>
      <c r="B332" s="5">
        <v>98566868</v>
      </c>
      <c r="C332" s="36" t="s">
        <v>4000</v>
      </c>
      <c r="D332" s="36" t="s">
        <v>3456</v>
      </c>
      <c r="E332" s="39">
        <v>30</v>
      </c>
      <c r="F332" s="37">
        <v>0</v>
      </c>
      <c r="G332" s="37">
        <v>0</v>
      </c>
      <c r="H332" s="38">
        <v>8500000</v>
      </c>
      <c r="I332" s="39">
        <v>8500000</v>
      </c>
      <c r="J332" s="38">
        <v>785300</v>
      </c>
      <c r="K332" s="39">
        <v>9285300</v>
      </c>
      <c r="L332" s="39">
        <v>3714120</v>
      </c>
      <c r="M332" s="39"/>
      <c r="N332" s="39"/>
      <c r="O332" s="39"/>
      <c r="P332" s="38">
        <v>8500000</v>
      </c>
      <c r="Q332" s="39">
        <v>0</v>
      </c>
      <c r="R332" s="39">
        <v>0</v>
      </c>
      <c r="S332" s="40"/>
      <c r="T332" s="38">
        <v>0</v>
      </c>
      <c r="U332" s="40"/>
      <c r="V332" s="40">
        <v>340000</v>
      </c>
      <c r="W332" s="42"/>
      <c r="X332" s="40"/>
      <c r="Y332" s="40">
        <v>340000</v>
      </c>
      <c r="Z332" s="42"/>
      <c r="AA332" s="40"/>
      <c r="AB332" s="40"/>
      <c r="AC332" s="40">
        <v>85000</v>
      </c>
      <c r="AD332" s="42"/>
      <c r="AF332">
        <f>VLOOKUP(A332,Devengos!$A$4:$I$389,9,0)</f>
        <v>8500000</v>
      </c>
      <c r="AG332">
        <f t="shared" si="239"/>
        <v>8500000</v>
      </c>
      <c r="AH332">
        <f>IFERROR(VLOOKUP(B332,'Planilla Mes anterior'!$CX:$CY,2,0),0)</f>
        <v>8500000</v>
      </c>
      <c r="AJ332" s="95">
        <v>0</v>
      </c>
    </row>
    <row r="333" spans="1:36" x14ac:dyDescent="0.3">
      <c r="A333" s="81">
        <v>90732301</v>
      </c>
      <c r="B333" s="5">
        <v>80831812</v>
      </c>
      <c r="C333" s="36" t="s">
        <v>4007</v>
      </c>
      <c r="D333" s="36" t="s">
        <v>3344</v>
      </c>
      <c r="E333" s="39">
        <v>30</v>
      </c>
      <c r="F333" s="37">
        <v>0</v>
      </c>
      <c r="G333" s="37">
        <v>0</v>
      </c>
      <c r="H333" s="38">
        <v>22761765</v>
      </c>
      <c r="I333" s="39">
        <v>15933235</v>
      </c>
      <c r="J333" s="38">
        <v>859700</v>
      </c>
      <c r="K333" s="39">
        <v>23621465</v>
      </c>
      <c r="L333" s="39">
        <v>9448586</v>
      </c>
      <c r="M333" s="39"/>
      <c r="N333" s="39"/>
      <c r="O333" s="39"/>
      <c r="P333" s="38">
        <v>22761765.714</v>
      </c>
      <c r="Q333" s="39">
        <v>0</v>
      </c>
      <c r="R333" s="39">
        <v>0</v>
      </c>
      <c r="S333" s="40"/>
      <c r="T333" s="38"/>
      <c r="U333" s="40"/>
      <c r="V333" s="40">
        <v>637329</v>
      </c>
      <c r="W333" s="42"/>
      <c r="X333" s="40"/>
      <c r="Y333" s="40">
        <v>637329</v>
      </c>
      <c r="Z333" s="42"/>
      <c r="AA333" s="40"/>
      <c r="AB333" s="40"/>
      <c r="AC333" s="40">
        <v>159400</v>
      </c>
      <c r="AD333" s="42"/>
      <c r="AF333">
        <f>VLOOKUP(A333,Devengos!$A$4:$I$389,9,0)</f>
        <v>22761765</v>
      </c>
      <c r="AG333">
        <f t="shared" si="239"/>
        <v>15933236</v>
      </c>
      <c r="AH333">
        <f>IFERROR(VLOOKUP(B333,'Planilla Mes anterior'!$CX:$CY,2,0),0)</f>
        <v>15933236</v>
      </c>
      <c r="AJ333" s="95">
        <v>0</v>
      </c>
    </row>
    <row r="334" spans="1:36" x14ac:dyDescent="0.3">
      <c r="A334" s="81">
        <v>90732302</v>
      </c>
      <c r="B334" s="5">
        <v>1019064022</v>
      </c>
      <c r="C334" s="36" t="s">
        <v>4012</v>
      </c>
      <c r="D334" s="36" t="s">
        <v>3456</v>
      </c>
      <c r="E334" s="39">
        <v>30</v>
      </c>
      <c r="F334" s="37">
        <v>0</v>
      </c>
      <c r="G334" s="37">
        <v>0</v>
      </c>
      <c r="H334" s="38">
        <v>5928571</v>
      </c>
      <c r="I334" s="39">
        <v>5928571</v>
      </c>
      <c r="J334" s="38">
        <v>700300</v>
      </c>
      <c r="K334" s="39">
        <v>6628871</v>
      </c>
      <c r="L334" s="39">
        <v>2651548</v>
      </c>
      <c r="M334" s="39"/>
      <c r="N334" s="39"/>
      <c r="O334" s="39"/>
      <c r="P334" s="38">
        <v>5928571</v>
      </c>
      <c r="Q334" s="39">
        <v>0</v>
      </c>
      <c r="R334" s="39">
        <v>0</v>
      </c>
      <c r="S334" s="40"/>
      <c r="T334" s="38">
        <v>0</v>
      </c>
      <c r="U334" s="40"/>
      <c r="V334" s="40">
        <v>237143</v>
      </c>
      <c r="W334" s="42"/>
      <c r="X334" s="40"/>
      <c r="Y334" s="40">
        <v>237143</v>
      </c>
      <c r="Z334" s="42"/>
      <c r="AA334" s="40"/>
      <c r="AB334" s="40"/>
      <c r="AC334" s="40">
        <v>0</v>
      </c>
      <c r="AD334" s="42"/>
      <c r="AF334">
        <f>VLOOKUP(A334,Devengos!$A$4:$I$389,9,0)</f>
        <v>5928571</v>
      </c>
      <c r="AG334">
        <f t="shared" si="239"/>
        <v>5928571</v>
      </c>
      <c r="AH334">
        <f>IFERROR(VLOOKUP(B334,'Planilla Mes anterior'!$CX:$CY,2,0),0)</f>
        <v>5928571</v>
      </c>
      <c r="AJ334" s="95">
        <v>0</v>
      </c>
    </row>
    <row r="335" spans="1:36" x14ac:dyDescent="0.3">
      <c r="A335" s="81">
        <v>90732303</v>
      </c>
      <c r="B335" s="5">
        <v>1022389912</v>
      </c>
      <c r="C335" s="36" t="s">
        <v>4018</v>
      </c>
      <c r="D335" s="36" t="s">
        <v>3456</v>
      </c>
      <c r="E335" s="39">
        <v>30</v>
      </c>
      <c r="F335" s="37">
        <v>0</v>
      </c>
      <c r="G335" s="37">
        <v>0</v>
      </c>
      <c r="H335" s="38">
        <v>2000000</v>
      </c>
      <c r="I335" s="39">
        <v>2000000</v>
      </c>
      <c r="J335" s="38">
        <v>700300</v>
      </c>
      <c r="K335" s="39">
        <v>2700300</v>
      </c>
      <c r="L335" s="39">
        <v>1080120</v>
      </c>
      <c r="M335" s="39"/>
      <c r="N335" s="39"/>
      <c r="O335" s="39"/>
      <c r="P335" s="38">
        <v>2000000</v>
      </c>
      <c r="Q335" s="39">
        <v>0</v>
      </c>
      <c r="R335" s="39">
        <v>0</v>
      </c>
      <c r="S335" s="40"/>
      <c r="T335" s="38">
        <v>0</v>
      </c>
      <c r="U335" s="40"/>
      <c r="V335" s="40">
        <v>80000</v>
      </c>
      <c r="W335" s="42"/>
      <c r="X335" s="40"/>
      <c r="Y335" s="40">
        <v>80000</v>
      </c>
      <c r="Z335" s="42"/>
      <c r="AA335" s="40"/>
      <c r="AB335" s="40"/>
      <c r="AC335" s="40">
        <v>0</v>
      </c>
      <c r="AD335" s="42"/>
      <c r="AF335">
        <f>VLOOKUP(A335,Devengos!$A$4:$I$389,9,0)</f>
        <v>2000000</v>
      </c>
      <c r="AG335">
        <f t="shared" si="239"/>
        <v>2000000</v>
      </c>
      <c r="AH335">
        <f>IFERROR(VLOOKUP(B335,'Planilla Mes anterior'!$CX:$CY,2,0),0)</f>
        <v>2000000</v>
      </c>
      <c r="AJ335" s="95">
        <v>0</v>
      </c>
    </row>
    <row r="336" spans="1:36" x14ac:dyDescent="0.3">
      <c r="A336" s="81">
        <v>90732304</v>
      </c>
      <c r="B336" s="5">
        <v>98761116</v>
      </c>
      <c r="C336" s="36" t="s">
        <v>4024</v>
      </c>
      <c r="D336" s="36" t="s">
        <v>3344</v>
      </c>
      <c r="E336" s="39">
        <v>30</v>
      </c>
      <c r="F336" s="37">
        <v>0</v>
      </c>
      <c r="G336" s="37">
        <v>0</v>
      </c>
      <c r="H336" s="38">
        <v>22761765</v>
      </c>
      <c r="I336" s="39">
        <v>15933235</v>
      </c>
      <c r="J336" s="38">
        <v>859700</v>
      </c>
      <c r="K336" s="39">
        <v>23621465</v>
      </c>
      <c r="L336" s="39">
        <v>9448586</v>
      </c>
      <c r="M336" s="39"/>
      <c r="N336" s="39"/>
      <c r="O336" s="39"/>
      <c r="P336" s="38">
        <v>15933236</v>
      </c>
      <c r="Q336" s="39">
        <v>0</v>
      </c>
      <c r="R336" s="39">
        <v>0</v>
      </c>
      <c r="S336" s="40"/>
      <c r="T336" s="38"/>
      <c r="U336" s="40"/>
      <c r="V336" s="40">
        <v>637329</v>
      </c>
      <c r="W336" s="42"/>
      <c r="X336" s="40"/>
      <c r="Y336" s="40">
        <v>637329</v>
      </c>
      <c r="Z336" s="42"/>
      <c r="AA336" s="40"/>
      <c r="AB336" s="40"/>
      <c r="AC336" s="40">
        <v>159400</v>
      </c>
      <c r="AD336" s="42"/>
      <c r="AF336">
        <f>VLOOKUP(A336,Devengos!$A$4:$I$389,9,0)</f>
        <v>22761765</v>
      </c>
      <c r="AG336">
        <f t="shared" si="239"/>
        <v>15933236</v>
      </c>
      <c r="AH336">
        <f>IFERROR(VLOOKUP(B336,'Planilla Mes anterior'!$CX:$CY,2,0),0)</f>
        <v>15933236</v>
      </c>
      <c r="AJ336" s="95">
        <v>0</v>
      </c>
    </row>
    <row r="337" spans="1:36" x14ac:dyDescent="0.3">
      <c r="A337" s="81">
        <v>90732316</v>
      </c>
      <c r="B337" s="5">
        <v>10133901</v>
      </c>
      <c r="C337" s="36" t="s">
        <v>4030</v>
      </c>
      <c r="D337" s="36" t="s">
        <v>3456</v>
      </c>
      <c r="E337" s="39">
        <v>30</v>
      </c>
      <c r="F337" s="37">
        <v>0</v>
      </c>
      <c r="G337" s="37">
        <v>0</v>
      </c>
      <c r="H337" s="38">
        <v>10000000</v>
      </c>
      <c r="I337" s="39">
        <v>10000000</v>
      </c>
      <c r="J337" s="38">
        <v>800300</v>
      </c>
      <c r="K337" s="39">
        <v>10800300</v>
      </c>
      <c r="L337" s="39">
        <v>4320120</v>
      </c>
      <c r="M337" s="39"/>
      <c r="N337" s="39"/>
      <c r="O337" s="39"/>
      <c r="P337" s="38">
        <v>10000000</v>
      </c>
      <c r="Q337" s="39">
        <v>0</v>
      </c>
      <c r="R337" s="39">
        <v>0</v>
      </c>
      <c r="S337" s="40"/>
      <c r="T337" s="38">
        <v>0</v>
      </c>
      <c r="U337" s="40"/>
      <c r="V337" s="40">
        <v>400000</v>
      </c>
      <c r="W337" s="42"/>
      <c r="X337" s="40"/>
      <c r="Y337" s="40">
        <v>400000</v>
      </c>
      <c r="Z337" s="42"/>
      <c r="AA337" s="40"/>
      <c r="AB337" s="40"/>
      <c r="AC337" s="40">
        <v>100000</v>
      </c>
      <c r="AD337" s="42"/>
      <c r="AF337">
        <f>VLOOKUP(A337,Devengos!$A$4:$I$389,9,0)</f>
        <v>10000000</v>
      </c>
      <c r="AG337">
        <f t="shared" si="239"/>
        <v>10000000</v>
      </c>
      <c r="AH337">
        <f>IFERROR(VLOOKUP(B337,'Planilla Mes anterior'!$CX:$CY,2,0),0)</f>
        <v>10000000</v>
      </c>
      <c r="AJ337" s="95">
        <v>0</v>
      </c>
    </row>
    <row r="338" spans="1:36" x14ac:dyDescent="0.3">
      <c r="A338" s="81">
        <v>90732386</v>
      </c>
      <c r="B338" s="5">
        <v>1016095826</v>
      </c>
      <c r="C338" s="36" t="s">
        <v>4036</v>
      </c>
      <c r="D338" s="36" t="s">
        <v>3456</v>
      </c>
      <c r="E338" s="39">
        <v>30</v>
      </c>
      <c r="F338" s="37">
        <v>0</v>
      </c>
      <c r="G338" s="37">
        <v>0</v>
      </c>
      <c r="H338" s="38">
        <v>3150000</v>
      </c>
      <c r="I338" s="39">
        <v>3150000</v>
      </c>
      <c r="J338" s="38">
        <v>774200</v>
      </c>
      <c r="K338" s="39">
        <v>3924200</v>
      </c>
      <c r="L338" s="39">
        <v>1569680</v>
      </c>
      <c r="M338" s="39"/>
      <c r="N338" s="39"/>
      <c r="O338" s="39"/>
      <c r="P338" s="38">
        <v>3150000</v>
      </c>
      <c r="Q338" s="39">
        <v>0</v>
      </c>
      <c r="R338" s="39">
        <v>0</v>
      </c>
      <c r="S338" s="40"/>
      <c r="T338" s="38">
        <v>0</v>
      </c>
      <c r="U338" s="40"/>
      <c r="V338" s="40">
        <v>126000</v>
      </c>
      <c r="W338" s="42"/>
      <c r="X338" s="40"/>
      <c r="Y338" s="40">
        <v>126000</v>
      </c>
      <c r="Z338" s="42"/>
      <c r="AA338" s="40"/>
      <c r="AB338" s="40"/>
      <c r="AC338" s="40">
        <v>0</v>
      </c>
      <c r="AD338" s="42"/>
      <c r="AF338">
        <f>VLOOKUP(A338,Devengos!$A$4:$I$389,9,0)</f>
        <v>3150000</v>
      </c>
      <c r="AG338">
        <f t="shared" si="239"/>
        <v>3150000</v>
      </c>
      <c r="AH338">
        <f>IFERROR(VLOOKUP(B338,'Planilla Mes anterior'!$CX:$CY,2,0),0)</f>
        <v>3150000</v>
      </c>
      <c r="AJ338" s="95">
        <v>0</v>
      </c>
    </row>
    <row r="339" spans="1:36" x14ac:dyDescent="0.3">
      <c r="A339" s="81">
        <v>90732661</v>
      </c>
      <c r="B339" s="5">
        <v>1140844329</v>
      </c>
      <c r="C339" s="36" t="s">
        <v>4118</v>
      </c>
      <c r="D339" s="36" t="s">
        <v>3456</v>
      </c>
      <c r="E339" s="39">
        <v>30</v>
      </c>
      <c r="F339" s="37">
        <v>0</v>
      </c>
      <c r="G339" s="37">
        <v>0</v>
      </c>
      <c r="H339" s="38">
        <v>14000000</v>
      </c>
      <c r="I339" s="39">
        <v>14000000</v>
      </c>
      <c r="J339" s="38">
        <v>840300</v>
      </c>
      <c r="K339" s="39">
        <v>14840300</v>
      </c>
      <c r="L339" s="39">
        <v>5936120</v>
      </c>
      <c r="M339" s="39"/>
      <c r="N339" s="39"/>
      <c r="O339" s="39"/>
      <c r="P339" s="38">
        <v>14000000</v>
      </c>
      <c r="Q339" s="39">
        <v>0</v>
      </c>
      <c r="R339" s="39">
        <v>0</v>
      </c>
      <c r="S339" s="40"/>
      <c r="T339" s="38">
        <v>0</v>
      </c>
      <c r="U339" s="40"/>
      <c r="V339" s="40">
        <v>560000</v>
      </c>
      <c r="W339" s="42"/>
      <c r="X339" s="40"/>
      <c r="Y339" s="40">
        <v>560000</v>
      </c>
      <c r="Z339" s="42"/>
      <c r="AA339" s="40"/>
      <c r="AB339" s="40"/>
      <c r="AC339" s="40">
        <v>140000</v>
      </c>
      <c r="AD339" s="42"/>
      <c r="AF339">
        <f>VLOOKUP(A339,Devengos!$A$4:$I$389,9,0)</f>
        <v>14000000</v>
      </c>
      <c r="AG339">
        <f t="shared" si="239"/>
        <v>14000000</v>
      </c>
      <c r="AH339">
        <f>IFERROR(VLOOKUP(B339,'Planilla Mes anterior'!$CX:$CY,2,0),0)</f>
        <v>14000000</v>
      </c>
      <c r="AJ339" s="95">
        <v>0</v>
      </c>
    </row>
    <row r="340" spans="1:36" x14ac:dyDescent="0.3">
      <c r="A340" s="81">
        <v>90732662</v>
      </c>
      <c r="B340" s="5">
        <v>1017241991.0000001</v>
      </c>
      <c r="C340" s="36" t="s">
        <v>4124</v>
      </c>
      <c r="D340" s="36" t="s">
        <v>3456</v>
      </c>
      <c r="E340" s="39">
        <v>30</v>
      </c>
      <c r="F340" s="37">
        <v>0</v>
      </c>
      <c r="G340" s="37">
        <v>0</v>
      </c>
      <c r="H340" s="38">
        <v>8000000</v>
      </c>
      <c r="I340" s="39">
        <v>8000000</v>
      </c>
      <c r="J340" s="38">
        <v>780300</v>
      </c>
      <c r="K340" s="39">
        <v>8780300</v>
      </c>
      <c r="L340" s="39">
        <v>3512120</v>
      </c>
      <c r="M340" s="39"/>
      <c r="N340" s="39"/>
      <c r="O340" s="39"/>
      <c r="P340" s="38">
        <v>8000000</v>
      </c>
      <c r="Q340" s="39">
        <v>0</v>
      </c>
      <c r="R340" s="39">
        <v>0</v>
      </c>
      <c r="S340" s="40"/>
      <c r="T340" s="38">
        <v>0</v>
      </c>
      <c r="U340" s="40"/>
      <c r="V340" s="40">
        <v>320000</v>
      </c>
      <c r="W340" s="42"/>
      <c r="X340" s="40"/>
      <c r="Y340" s="40">
        <v>320000</v>
      </c>
      <c r="Z340" s="42"/>
      <c r="AA340" s="40"/>
      <c r="AB340" s="40"/>
      <c r="AC340" s="40">
        <v>80000</v>
      </c>
      <c r="AD340" s="42"/>
      <c r="AF340">
        <f>VLOOKUP(A340,Devengos!$A$4:$I$389,9,0)</f>
        <v>8000000</v>
      </c>
      <c r="AG340">
        <f t="shared" si="239"/>
        <v>8000000</v>
      </c>
      <c r="AH340">
        <f>IFERROR(VLOOKUP(B340,'Planilla Mes anterior'!$CX:$CY,2,0),0)</f>
        <v>8000000</v>
      </c>
      <c r="AJ340" s="95">
        <v>0</v>
      </c>
    </row>
    <row r="341" spans="1:36" x14ac:dyDescent="0.3">
      <c r="A341" s="81">
        <v>90732663</v>
      </c>
      <c r="B341" s="5">
        <v>1032484758</v>
      </c>
      <c r="C341" s="36" t="s">
        <v>4129</v>
      </c>
      <c r="D341" s="36" t="s">
        <v>3456</v>
      </c>
      <c r="E341" s="39">
        <v>30</v>
      </c>
      <c r="F341" s="37">
        <v>0</v>
      </c>
      <c r="G341" s="37">
        <v>0</v>
      </c>
      <c r="H341" s="38">
        <v>12517200</v>
      </c>
      <c r="I341" s="39">
        <v>12517200</v>
      </c>
      <c r="J341" s="38">
        <v>825500</v>
      </c>
      <c r="K341" s="39">
        <v>13342700</v>
      </c>
      <c r="L341" s="39">
        <v>5337080</v>
      </c>
      <c r="M341" s="39"/>
      <c r="N341" s="39"/>
      <c r="O341" s="39"/>
      <c r="P341" s="38">
        <v>12517200</v>
      </c>
      <c r="Q341" s="39">
        <v>0</v>
      </c>
      <c r="R341" s="39">
        <v>0</v>
      </c>
      <c r="S341" s="40"/>
      <c r="T341" s="38">
        <v>0</v>
      </c>
      <c r="U341" s="40"/>
      <c r="V341" s="40">
        <v>500688</v>
      </c>
      <c r="W341" s="42"/>
      <c r="X341" s="40"/>
      <c r="Y341" s="40">
        <v>500688</v>
      </c>
      <c r="Z341" s="42"/>
      <c r="AA341" s="40"/>
      <c r="AB341" s="40"/>
      <c r="AC341" s="40">
        <v>125200</v>
      </c>
      <c r="AD341" s="42"/>
      <c r="AF341">
        <f>VLOOKUP(A341,Devengos!$A$4:$I$389,9,0)</f>
        <v>12517200</v>
      </c>
      <c r="AG341">
        <f t="shared" si="239"/>
        <v>12517200</v>
      </c>
      <c r="AH341">
        <f>IFERROR(VLOOKUP(B341,'Planilla Mes anterior'!$CX:$CY,2,0),0)</f>
        <v>12517200</v>
      </c>
      <c r="AJ341" s="95">
        <v>0</v>
      </c>
    </row>
    <row r="342" spans="1:36" x14ac:dyDescent="0.3">
      <c r="A342" s="81">
        <v>90732687</v>
      </c>
      <c r="B342" s="5">
        <v>1000125906</v>
      </c>
      <c r="C342" s="36" t="s">
        <v>4136</v>
      </c>
      <c r="D342" s="36" t="s">
        <v>3456</v>
      </c>
      <c r="E342" s="39">
        <v>30</v>
      </c>
      <c r="F342" s="37">
        <v>0</v>
      </c>
      <c r="G342" s="37">
        <v>0</v>
      </c>
      <c r="H342" s="38">
        <v>8500000</v>
      </c>
      <c r="I342" s="39">
        <v>8500000</v>
      </c>
      <c r="J342" s="38">
        <v>785300</v>
      </c>
      <c r="K342" s="39">
        <v>9285300</v>
      </c>
      <c r="L342" s="39">
        <v>3714120</v>
      </c>
      <c r="M342" s="39"/>
      <c r="N342" s="39"/>
      <c r="O342" s="39"/>
      <c r="P342" s="38">
        <v>8500000</v>
      </c>
      <c r="Q342" s="39">
        <v>0</v>
      </c>
      <c r="R342" s="39">
        <v>0</v>
      </c>
      <c r="S342" s="40"/>
      <c r="T342" s="38">
        <v>0</v>
      </c>
      <c r="U342" s="40"/>
      <c r="V342" s="40">
        <v>340000</v>
      </c>
      <c r="W342" s="42"/>
      <c r="X342" s="40"/>
      <c r="Y342" s="40">
        <v>340000</v>
      </c>
      <c r="Z342" s="42"/>
      <c r="AA342" s="40"/>
      <c r="AB342" s="40"/>
      <c r="AC342" s="40">
        <v>85000</v>
      </c>
      <c r="AD342" s="42"/>
      <c r="AF342">
        <f>VLOOKUP(A342,Devengos!$A$4:$I$389,9,0)</f>
        <v>8500000</v>
      </c>
      <c r="AG342">
        <f t="shared" si="239"/>
        <v>8500000</v>
      </c>
      <c r="AH342">
        <f>IFERROR(VLOOKUP(B342,'Planilla Mes anterior'!$CX:$CY,2,0),0)</f>
        <v>8500000</v>
      </c>
      <c r="AJ342" s="95">
        <v>0</v>
      </c>
    </row>
    <row r="343" spans="1:36" x14ac:dyDescent="0.3">
      <c r="A343" s="81">
        <v>90732688</v>
      </c>
      <c r="B343" s="5">
        <v>53069333</v>
      </c>
      <c r="C343" s="36" t="s">
        <v>4142</v>
      </c>
      <c r="D343" s="36" t="s">
        <v>3456</v>
      </c>
      <c r="E343" s="39">
        <v>30</v>
      </c>
      <c r="F343" s="37">
        <v>0</v>
      </c>
      <c r="G343" s="37">
        <v>0</v>
      </c>
      <c r="H343" s="38">
        <v>15000000</v>
      </c>
      <c r="I343" s="39">
        <v>15000000</v>
      </c>
      <c r="J343" s="38">
        <v>850300</v>
      </c>
      <c r="K343" s="39">
        <v>15850300</v>
      </c>
      <c r="L343" s="39">
        <v>6340120</v>
      </c>
      <c r="M343" s="39"/>
      <c r="N343" s="39"/>
      <c r="O343" s="39"/>
      <c r="P343" s="38">
        <v>15000000</v>
      </c>
      <c r="Q343" s="39">
        <v>0</v>
      </c>
      <c r="R343" s="39">
        <v>0</v>
      </c>
      <c r="S343" s="40"/>
      <c r="T343" s="38">
        <v>0</v>
      </c>
      <c r="U343" s="40"/>
      <c r="V343" s="40">
        <v>600000</v>
      </c>
      <c r="W343" s="42"/>
      <c r="X343" s="40"/>
      <c r="Y343" s="40">
        <v>600000</v>
      </c>
      <c r="Z343" s="42"/>
      <c r="AA343" s="40"/>
      <c r="AB343" s="40"/>
      <c r="AC343" s="40">
        <v>150000</v>
      </c>
      <c r="AD343" s="42"/>
      <c r="AF343">
        <f>VLOOKUP(A343,Devengos!$A$4:$I$389,9,0)</f>
        <v>15000000</v>
      </c>
      <c r="AG343">
        <f t="shared" si="239"/>
        <v>15000000</v>
      </c>
      <c r="AH343">
        <f>IFERROR(VLOOKUP(B343,'Planilla Mes anterior'!$CX:$CY,2,0),0)</f>
        <v>15000000</v>
      </c>
      <c r="AJ343" s="95">
        <v>0</v>
      </c>
    </row>
    <row r="344" spans="1:36" x14ac:dyDescent="0.3">
      <c r="A344" s="81">
        <v>90732689</v>
      </c>
      <c r="B344" s="5">
        <v>1038406732.9999999</v>
      </c>
      <c r="C344" s="36" t="s">
        <v>4147</v>
      </c>
      <c r="D344" s="36" t="s">
        <v>3456</v>
      </c>
      <c r="E344" s="39">
        <v>30</v>
      </c>
      <c r="F344" s="37">
        <v>0</v>
      </c>
      <c r="G344" s="37">
        <v>0</v>
      </c>
      <c r="H344" s="38">
        <v>12785714</v>
      </c>
      <c r="I344" s="39">
        <v>12785714</v>
      </c>
      <c r="J344" s="38">
        <v>828300</v>
      </c>
      <c r="K344" s="39">
        <v>13614014</v>
      </c>
      <c r="L344" s="39">
        <v>5445606</v>
      </c>
      <c r="M344" s="39"/>
      <c r="N344" s="39"/>
      <c r="O344" s="39"/>
      <c r="P344" s="38">
        <v>12785714</v>
      </c>
      <c r="Q344" s="39">
        <v>0</v>
      </c>
      <c r="R344" s="39">
        <v>0</v>
      </c>
      <c r="S344" s="40"/>
      <c r="T344" s="38">
        <v>0</v>
      </c>
      <c r="U344" s="40"/>
      <c r="V344" s="40">
        <v>511429</v>
      </c>
      <c r="W344" s="42"/>
      <c r="X344" s="40"/>
      <c r="Y344" s="40">
        <v>511429</v>
      </c>
      <c r="Z344" s="42"/>
      <c r="AA344" s="40"/>
      <c r="AB344" s="40"/>
      <c r="AC344" s="40">
        <v>128000</v>
      </c>
      <c r="AD344" s="42"/>
      <c r="AF344">
        <f>VLOOKUP(A344,Devengos!$A$4:$I$389,9,0)</f>
        <v>12785714</v>
      </c>
      <c r="AG344">
        <f t="shared" si="239"/>
        <v>12785714</v>
      </c>
      <c r="AH344">
        <f>IFERROR(VLOOKUP(B344,'Planilla Mes anterior'!$CX:$CY,2,0),0)</f>
        <v>12785714</v>
      </c>
      <c r="AJ344" s="95">
        <v>0</v>
      </c>
    </row>
    <row r="345" spans="1:36" x14ac:dyDescent="0.3">
      <c r="A345" s="81">
        <v>90732820</v>
      </c>
      <c r="B345" s="5">
        <v>1010110124.9999999</v>
      </c>
      <c r="C345" s="36" t="s">
        <v>4179</v>
      </c>
      <c r="D345" s="36" t="s">
        <v>3456</v>
      </c>
      <c r="E345" s="39">
        <v>30</v>
      </c>
      <c r="F345" s="37">
        <v>0</v>
      </c>
      <c r="G345" s="37">
        <v>0</v>
      </c>
      <c r="H345" s="38">
        <v>5650000</v>
      </c>
      <c r="I345" s="39">
        <v>5650000</v>
      </c>
      <c r="J345" s="38">
        <v>700300</v>
      </c>
      <c r="K345" s="39">
        <v>6350300</v>
      </c>
      <c r="L345" s="39">
        <v>2540120</v>
      </c>
      <c r="M345" s="39"/>
      <c r="N345" s="39"/>
      <c r="O345" s="39"/>
      <c r="P345" s="38">
        <v>5650000</v>
      </c>
      <c r="Q345" s="39">
        <v>0</v>
      </c>
      <c r="R345" s="39">
        <v>0</v>
      </c>
      <c r="S345" s="40"/>
      <c r="T345" s="38">
        <v>0</v>
      </c>
      <c r="U345" s="40"/>
      <c r="V345" s="40">
        <v>226000</v>
      </c>
      <c r="W345" s="42"/>
      <c r="X345" s="40"/>
      <c r="Y345" s="40">
        <v>226000</v>
      </c>
      <c r="Z345" s="42"/>
      <c r="AA345" s="40"/>
      <c r="AB345" s="40"/>
      <c r="AC345" s="40">
        <v>0</v>
      </c>
      <c r="AD345" s="42"/>
      <c r="AF345">
        <f>VLOOKUP(A345,Devengos!$A$4:$I$389,9,0)</f>
        <v>5650000</v>
      </c>
      <c r="AG345">
        <f t="shared" si="239"/>
        <v>5650000</v>
      </c>
      <c r="AH345">
        <f>IFERROR(VLOOKUP(B345,'Planilla Mes anterior'!$CX:$CY,2,0),0)</f>
        <v>5650000</v>
      </c>
      <c r="AJ345" s="95">
        <v>0</v>
      </c>
    </row>
    <row r="346" spans="1:36" x14ac:dyDescent="0.3">
      <c r="A346" s="81">
        <v>90732866</v>
      </c>
      <c r="B346" s="5">
        <v>1098805696</v>
      </c>
      <c r="C346" s="36" t="s">
        <v>4251</v>
      </c>
      <c r="D346" s="36" t="s">
        <v>3456</v>
      </c>
      <c r="E346" s="39">
        <v>30</v>
      </c>
      <c r="F346" s="37">
        <v>0</v>
      </c>
      <c r="G346" s="37">
        <v>0</v>
      </c>
      <c r="H346" s="38">
        <v>9800000</v>
      </c>
      <c r="I346" s="39">
        <v>9800000</v>
      </c>
      <c r="J346" s="38">
        <v>798300</v>
      </c>
      <c r="K346" s="39">
        <v>10598300</v>
      </c>
      <c r="L346" s="39">
        <v>4239320</v>
      </c>
      <c r="M346" s="39"/>
      <c r="N346" s="39"/>
      <c r="O346" s="39"/>
      <c r="P346" s="38">
        <v>9800000</v>
      </c>
      <c r="Q346" s="39">
        <v>0</v>
      </c>
      <c r="R346" s="39">
        <v>0</v>
      </c>
      <c r="S346" s="40"/>
      <c r="T346" s="38">
        <v>0</v>
      </c>
      <c r="U346" s="40"/>
      <c r="V346" s="40">
        <v>392000</v>
      </c>
      <c r="W346" s="42"/>
      <c r="X346" s="40"/>
      <c r="Y346" s="40">
        <v>392000</v>
      </c>
      <c r="Z346" s="42"/>
      <c r="AA346" s="40"/>
      <c r="AB346" s="40"/>
      <c r="AC346" s="40">
        <v>98000</v>
      </c>
      <c r="AD346" s="42"/>
      <c r="AF346">
        <f>VLOOKUP(A346,Devengos!$A$4:$I$389,9,0)</f>
        <v>9800000</v>
      </c>
      <c r="AG346">
        <f t="shared" si="239"/>
        <v>9800000</v>
      </c>
      <c r="AH346">
        <f>IFERROR(VLOOKUP(B346,'Planilla Mes anterior'!$CX:$CY,2,0),0)</f>
        <v>9800000</v>
      </c>
      <c r="AJ346" s="95">
        <v>0</v>
      </c>
    </row>
    <row r="347" spans="1:36" x14ac:dyDescent="0.3">
      <c r="A347" s="81">
        <v>90732867</v>
      </c>
      <c r="B347" s="5">
        <v>1065292352.9999999</v>
      </c>
      <c r="C347" s="36" t="s">
        <v>4192</v>
      </c>
      <c r="D347" s="36" t="s">
        <v>3456</v>
      </c>
      <c r="E347" s="39">
        <v>30</v>
      </c>
      <c r="F347" s="37">
        <v>0</v>
      </c>
      <c r="G347" s="37">
        <v>0</v>
      </c>
      <c r="H347" s="38">
        <v>2000000</v>
      </c>
      <c r="I347" s="39">
        <v>2000000</v>
      </c>
      <c r="J347" s="38">
        <v>774200</v>
      </c>
      <c r="K347" s="39">
        <v>2774200</v>
      </c>
      <c r="L347" s="39">
        <v>1109680</v>
      </c>
      <c r="M347" s="39"/>
      <c r="N347" s="39"/>
      <c r="O347" s="39"/>
      <c r="P347" s="38">
        <v>2000000</v>
      </c>
      <c r="Q347" s="39">
        <v>0</v>
      </c>
      <c r="R347" s="39">
        <v>0</v>
      </c>
      <c r="S347" s="40"/>
      <c r="T347" s="38">
        <v>0</v>
      </c>
      <c r="U347" s="40"/>
      <c r="V347" s="40">
        <v>80000</v>
      </c>
      <c r="W347" s="42"/>
      <c r="X347" s="40"/>
      <c r="Y347" s="40">
        <v>80000</v>
      </c>
      <c r="Z347" s="42"/>
      <c r="AA347" s="40"/>
      <c r="AB347" s="40"/>
      <c r="AC347" s="40">
        <v>0</v>
      </c>
      <c r="AD347" s="42"/>
      <c r="AF347">
        <f>VLOOKUP(A347,Devengos!$A$4:$I$389,9,0)</f>
        <v>2000000</v>
      </c>
      <c r="AG347">
        <f t="shared" si="239"/>
        <v>2000000</v>
      </c>
      <c r="AH347">
        <f>IFERROR(VLOOKUP(B347,'Planilla Mes anterior'!$CX:$CY,2,0),0)</f>
        <v>2000000</v>
      </c>
      <c r="AJ347" s="95">
        <v>0</v>
      </c>
    </row>
    <row r="348" spans="1:36" x14ac:dyDescent="0.3">
      <c r="A348" s="81">
        <v>90732868</v>
      </c>
      <c r="B348" s="5">
        <v>1023624608.9999999</v>
      </c>
      <c r="C348" s="36" t="s">
        <v>4198</v>
      </c>
      <c r="D348" s="36" t="s">
        <v>3456</v>
      </c>
      <c r="E348" s="39">
        <v>30</v>
      </c>
      <c r="F348" s="37">
        <v>0</v>
      </c>
      <c r="G348" s="37">
        <v>0</v>
      </c>
      <c r="H348" s="38">
        <v>2000000</v>
      </c>
      <c r="I348" s="39">
        <v>2000000</v>
      </c>
      <c r="J348" s="38">
        <v>774200</v>
      </c>
      <c r="K348" s="39">
        <v>2774200</v>
      </c>
      <c r="L348" s="39">
        <v>1109680</v>
      </c>
      <c r="M348" s="39"/>
      <c r="N348" s="39"/>
      <c r="O348" s="39"/>
      <c r="P348" s="38">
        <v>2000000</v>
      </c>
      <c r="Q348" s="39">
        <v>0</v>
      </c>
      <c r="R348" s="39">
        <v>0</v>
      </c>
      <c r="S348" s="40"/>
      <c r="T348" s="38">
        <v>0</v>
      </c>
      <c r="U348" s="40"/>
      <c r="V348" s="40">
        <v>80000</v>
      </c>
      <c r="W348" s="42"/>
      <c r="X348" s="40"/>
      <c r="Y348" s="40">
        <v>80000</v>
      </c>
      <c r="Z348" s="42"/>
      <c r="AA348" s="40"/>
      <c r="AB348" s="40"/>
      <c r="AC348" s="40">
        <v>0</v>
      </c>
      <c r="AD348" s="42"/>
      <c r="AF348">
        <f>VLOOKUP(A348,Devengos!$A$4:$I$389,9,0)</f>
        <v>2000000</v>
      </c>
      <c r="AG348">
        <f t="shared" si="239"/>
        <v>2000000</v>
      </c>
      <c r="AH348">
        <f>IFERROR(VLOOKUP(B348,'Planilla Mes anterior'!$CX:$CY,2,0),0)</f>
        <v>2000000</v>
      </c>
      <c r="AJ348" s="95">
        <v>0</v>
      </c>
    </row>
    <row r="349" spans="1:36" x14ac:dyDescent="0.3">
      <c r="A349" s="81">
        <v>90732869</v>
      </c>
      <c r="B349" s="5">
        <v>1033486192</v>
      </c>
      <c r="C349" s="36" t="s">
        <v>4203</v>
      </c>
      <c r="D349" s="36" t="s">
        <v>3456</v>
      </c>
      <c r="E349" s="39">
        <v>30</v>
      </c>
      <c r="F349" s="37">
        <v>0</v>
      </c>
      <c r="G349" s="37">
        <v>0</v>
      </c>
      <c r="H349" s="38">
        <v>2000000</v>
      </c>
      <c r="I349" s="39">
        <v>2000000</v>
      </c>
      <c r="J349" s="38">
        <v>774200</v>
      </c>
      <c r="K349" s="39">
        <v>2774200</v>
      </c>
      <c r="L349" s="39">
        <v>1109680</v>
      </c>
      <c r="M349" s="39"/>
      <c r="N349" s="39"/>
      <c r="O349" s="39"/>
      <c r="P349" s="38">
        <v>2000000</v>
      </c>
      <c r="Q349" s="39">
        <v>0</v>
      </c>
      <c r="R349" s="39">
        <v>0</v>
      </c>
      <c r="S349" s="40"/>
      <c r="T349" s="38">
        <v>0</v>
      </c>
      <c r="U349" s="40"/>
      <c r="V349" s="40">
        <v>80000</v>
      </c>
      <c r="W349" s="42"/>
      <c r="X349" s="40"/>
      <c r="Y349" s="40">
        <v>80000</v>
      </c>
      <c r="Z349" s="42"/>
      <c r="AA349" s="40"/>
      <c r="AB349" s="40"/>
      <c r="AC349" s="40">
        <v>0</v>
      </c>
      <c r="AD349" s="42"/>
      <c r="AF349">
        <f>VLOOKUP(A349,Devengos!$A$4:$I$389,9,0)</f>
        <v>2000000</v>
      </c>
      <c r="AG349">
        <f t="shared" si="239"/>
        <v>2000000</v>
      </c>
      <c r="AH349">
        <f>IFERROR(VLOOKUP(B349,'Planilla Mes anterior'!$CX:$CY,2,0),0)</f>
        <v>2000000</v>
      </c>
      <c r="AJ349" s="95">
        <v>0</v>
      </c>
    </row>
    <row r="350" spans="1:36" x14ac:dyDescent="0.3">
      <c r="A350" s="81">
        <v>90732870</v>
      </c>
      <c r="B350" s="5">
        <v>1007017298</v>
      </c>
      <c r="C350" s="36" t="s">
        <v>4208</v>
      </c>
      <c r="D350" s="36" t="s">
        <v>3456</v>
      </c>
      <c r="E350" s="39">
        <v>30</v>
      </c>
      <c r="F350" s="37">
        <v>0</v>
      </c>
      <c r="G350" s="37">
        <v>0</v>
      </c>
      <c r="H350" s="38">
        <v>2000000</v>
      </c>
      <c r="I350" s="39">
        <v>2000000</v>
      </c>
      <c r="J350" s="38">
        <v>700300</v>
      </c>
      <c r="K350" s="39">
        <v>2700300</v>
      </c>
      <c r="L350" s="39">
        <v>1080120</v>
      </c>
      <c r="M350" s="39"/>
      <c r="N350" s="39"/>
      <c r="O350" s="39"/>
      <c r="P350" s="38">
        <v>2000000</v>
      </c>
      <c r="Q350" s="39">
        <v>0</v>
      </c>
      <c r="R350" s="39">
        <v>0</v>
      </c>
      <c r="S350" s="40"/>
      <c r="T350" s="38">
        <v>0</v>
      </c>
      <c r="U350" s="40"/>
      <c r="V350" s="40">
        <v>80000</v>
      </c>
      <c r="W350" s="42"/>
      <c r="X350" s="40"/>
      <c r="Y350" s="40">
        <v>80000</v>
      </c>
      <c r="Z350" s="42"/>
      <c r="AA350" s="40"/>
      <c r="AB350" s="40"/>
      <c r="AC350" s="40">
        <v>0</v>
      </c>
      <c r="AD350" s="42"/>
      <c r="AF350">
        <f>VLOOKUP(A350,Devengos!$A$4:$I$389,9,0)</f>
        <v>2000000</v>
      </c>
      <c r="AG350">
        <f t="shared" si="239"/>
        <v>2000000</v>
      </c>
      <c r="AH350">
        <f>IFERROR(VLOOKUP(B350,'Planilla Mes anterior'!$CX:$CY,2,0),0)</f>
        <v>2000000</v>
      </c>
      <c r="AJ350" s="95">
        <v>0</v>
      </c>
    </row>
    <row r="351" spans="1:36" x14ac:dyDescent="0.3">
      <c r="A351" s="81">
        <v>90732871</v>
      </c>
      <c r="B351" s="5">
        <v>1000412576</v>
      </c>
      <c r="C351" s="36" t="s">
        <v>4213</v>
      </c>
      <c r="D351" s="36" t="s">
        <v>3456</v>
      </c>
      <c r="E351" s="39">
        <v>30</v>
      </c>
      <c r="F351" s="37">
        <v>0</v>
      </c>
      <c r="G351" s="37">
        <v>0</v>
      </c>
      <c r="H351" s="38">
        <v>2000000</v>
      </c>
      <c r="I351" s="39">
        <v>2000000</v>
      </c>
      <c r="J351" s="38">
        <v>774200</v>
      </c>
      <c r="K351" s="39">
        <v>2774200</v>
      </c>
      <c r="L351" s="39">
        <v>1109680</v>
      </c>
      <c r="M351" s="39"/>
      <c r="N351" s="39"/>
      <c r="O351" s="39"/>
      <c r="P351" s="38">
        <v>2022727</v>
      </c>
      <c r="Q351" s="39">
        <v>0</v>
      </c>
      <c r="R351" s="39">
        <v>0</v>
      </c>
      <c r="S351" s="40"/>
      <c r="T351" s="38">
        <v>0</v>
      </c>
      <c r="U351" s="40"/>
      <c r="V351" s="40">
        <v>80000</v>
      </c>
      <c r="W351" s="42"/>
      <c r="X351" s="40"/>
      <c r="Y351" s="40">
        <v>80000</v>
      </c>
      <c r="Z351" s="42"/>
      <c r="AA351" s="40"/>
      <c r="AB351" s="40"/>
      <c r="AC351" s="40">
        <v>0</v>
      </c>
      <c r="AD351" s="42"/>
      <c r="AF351">
        <f>VLOOKUP(A351,Devengos!$A$4:$I$389,9,0)</f>
        <v>2000000</v>
      </c>
      <c r="AG351">
        <f t="shared" si="239"/>
        <v>2000000</v>
      </c>
      <c r="AH351">
        <f>IFERROR(VLOOKUP(B351,'Planilla Mes anterior'!$CX:$CY,2,0),0)</f>
        <v>2022727</v>
      </c>
      <c r="AJ351" s="95">
        <v>0</v>
      </c>
    </row>
    <row r="352" spans="1:36" x14ac:dyDescent="0.3">
      <c r="A352" s="81">
        <v>90732874</v>
      </c>
      <c r="B352" s="5">
        <v>1020102987.0000001</v>
      </c>
      <c r="C352" s="36" t="s">
        <v>4252</v>
      </c>
      <c r="D352" s="36" t="s">
        <v>3456</v>
      </c>
      <c r="E352" s="39">
        <v>30</v>
      </c>
      <c r="F352" s="37">
        <v>0</v>
      </c>
      <c r="G352" s="37">
        <v>0</v>
      </c>
      <c r="H352" s="38">
        <v>2000000</v>
      </c>
      <c r="I352" s="39">
        <v>2000000</v>
      </c>
      <c r="J352" s="38">
        <v>774200</v>
      </c>
      <c r="K352" s="39">
        <v>2774200</v>
      </c>
      <c r="L352" s="39">
        <v>1109680</v>
      </c>
      <c r="M352" s="39"/>
      <c r="N352" s="39"/>
      <c r="O352" s="39"/>
      <c r="P352" s="38">
        <v>2000000</v>
      </c>
      <c r="Q352" s="39">
        <v>0</v>
      </c>
      <c r="R352" s="39">
        <v>0</v>
      </c>
      <c r="S352" s="40"/>
      <c r="T352" s="38">
        <v>0</v>
      </c>
      <c r="U352" s="40"/>
      <c r="V352" s="40">
        <v>80000</v>
      </c>
      <c r="W352" s="42"/>
      <c r="X352" s="40"/>
      <c r="Y352" s="40">
        <v>80000</v>
      </c>
      <c r="Z352" s="42"/>
      <c r="AA352" s="40"/>
      <c r="AB352" s="40"/>
      <c r="AC352" s="40">
        <v>0</v>
      </c>
      <c r="AD352" s="42"/>
      <c r="AF352">
        <f>VLOOKUP(A352,Devengos!$A$4:$I$389,9,0)</f>
        <v>2000000</v>
      </c>
      <c r="AG352">
        <f t="shared" si="239"/>
        <v>2000000</v>
      </c>
      <c r="AH352">
        <f>IFERROR(VLOOKUP(B352,'Planilla Mes anterior'!$CX:$CY,2,0),0)</f>
        <v>2000000</v>
      </c>
      <c r="AJ352" s="95">
        <v>0</v>
      </c>
    </row>
    <row r="353" spans="1:36" x14ac:dyDescent="0.3">
      <c r="A353" s="81">
        <v>90732875</v>
      </c>
      <c r="B353" s="5">
        <v>1107834249</v>
      </c>
      <c r="C353" s="36" t="s">
        <v>4224</v>
      </c>
      <c r="D353" s="36" t="s">
        <v>3456</v>
      </c>
      <c r="E353" s="39">
        <v>30</v>
      </c>
      <c r="F353" s="37">
        <v>0</v>
      </c>
      <c r="G353" s="37">
        <v>0</v>
      </c>
      <c r="H353" s="38">
        <v>2000000</v>
      </c>
      <c r="I353" s="39">
        <v>2000000</v>
      </c>
      <c r="J353" s="38">
        <v>774200</v>
      </c>
      <c r="K353" s="39">
        <v>2774200</v>
      </c>
      <c r="L353" s="39">
        <v>1109680</v>
      </c>
      <c r="M353" s="39"/>
      <c r="N353" s="39"/>
      <c r="O353" s="39"/>
      <c r="P353" s="38">
        <v>2000000</v>
      </c>
      <c r="Q353" s="39">
        <v>0</v>
      </c>
      <c r="R353" s="39">
        <v>0</v>
      </c>
      <c r="S353" s="40"/>
      <c r="T353" s="38">
        <v>0</v>
      </c>
      <c r="U353" s="40"/>
      <c r="V353" s="40">
        <v>80000</v>
      </c>
      <c r="W353" s="42"/>
      <c r="X353" s="40"/>
      <c r="Y353" s="40">
        <v>80000</v>
      </c>
      <c r="Z353" s="42"/>
      <c r="AA353" s="40"/>
      <c r="AB353" s="40"/>
      <c r="AC353" s="40">
        <v>0</v>
      </c>
      <c r="AD353" s="42"/>
      <c r="AF353">
        <f>VLOOKUP(A353,Devengos!$A$4:$I$389,9,0)</f>
        <v>2000000</v>
      </c>
      <c r="AG353">
        <f t="shared" si="239"/>
        <v>2000000</v>
      </c>
      <c r="AH353">
        <f>IFERROR(VLOOKUP(B353,'Planilla Mes anterior'!$CX:$CY,2,0),0)</f>
        <v>2000000</v>
      </c>
      <c r="AJ353" s="95">
        <v>0</v>
      </c>
    </row>
    <row r="354" spans="1:36" x14ac:dyDescent="0.3">
      <c r="A354" s="81">
        <v>90733044</v>
      </c>
      <c r="B354" s="5">
        <v>1001168754</v>
      </c>
      <c r="C354" s="36" t="s">
        <v>4253</v>
      </c>
      <c r="D354" s="36" t="s">
        <v>3456</v>
      </c>
      <c r="E354" s="39">
        <v>30</v>
      </c>
      <c r="F354" s="37">
        <v>0</v>
      </c>
      <c r="G354" s="37">
        <v>0</v>
      </c>
      <c r="H354" s="38">
        <v>3850000</v>
      </c>
      <c r="I354" s="39">
        <v>3850000</v>
      </c>
      <c r="J354" s="38">
        <v>700300</v>
      </c>
      <c r="K354" s="39">
        <v>4550300</v>
      </c>
      <c r="L354" s="39">
        <v>1820120</v>
      </c>
      <c r="M354" s="39"/>
      <c r="N354" s="39"/>
      <c r="O354" s="39"/>
      <c r="P354" s="38">
        <v>3721667</v>
      </c>
      <c r="Q354" s="39">
        <v>0</v>
      </c>
      <c r="R354" s="39">
        <v>0</v>
      </c>
      <c r="S354" s="40"/>
      <c r="T354" s="38">
        <v>0</v>
      </c>
      <c r="U354" s="40"/>
      <c r="V354" s="40">
        <v>154000</v>
      </c>
      <c r="W354" s="42"/>
      <c r="X354" s="40"/>
      <c r="Y354" s="40">
        <v>154000</v>
      </c>
      <c r="Z354" s="42"/>
      <c r="AA354" s="40"/>
      <c r="AB354" s="40"/>
      <c r="AC354" s="40">
        <v>0</v>
      </c>
      <c r="AD354" s="42"/>
      <c r="AF354">
        <f>VLOOKUP(A354,Devengos!$A$4:$I$389,9,0)</f>
        <v>3850000</v>
      </c>
      <c r="AG354">
        <f t="shared" ref="AG354:AG359" si="260">IF(D354="Integral",ROUND(AF354*70%,0),AF354)</f>
        <v>3850000</v>
      </c>
      <c r="AH354">
        <f>IFERROR(VLOOKUP(B354,'Planilla Mes anterior'!$CX:$CY,2,0),0)</f>
        <v>3721667</v>
      </c>
      <c r="AJ354" s="95">
        <v>0</v>
      </c>
    </row>
    <row r="355" spans="1:36" x14ac:dyDescent="0.3">
      <c r="A355" s="81">
        <v>90733076</v>
      </c>
      <c r="B355" s="5">
        <v>1233490366</v>
      </c>
      <c r="C355" s="36" t="s">
        <v>4254</v>
      </c>
      <c r="D355" s="36" t="s">
        <v>3456</v>
      </c>
      <c r="E355" s="39">
        <v>30</v>
      </c>
      <c r="F355" s="37">
        <v>0</v>
      </c>
      <c r="G355" s="37">
        <v>0</v>
      </c>
      <c r="H355" s="38">
        <v>6200000</v>
      </c>
      <c r="I355" s="39">
        <v>6200000</v>
      </c>
      <c r="J355" s="38">
        <v>700300</v>
      </c>
      <c r="K355" s="39">
        <v>6900300</v>
      </c>
      <c r="L355" s="39">
        <v>2760120</v>
      </c>
      <c r="M355" s="39"/>
      <c r="N355" s="39"/>
      <c r="O355" s="39"/>
      <c r="P355" s="38">
        <v>5786667</v>
      </c>
      <c r="Q355" s="39">
        <v>0</v>
      </c>
      <c r="R355" s="39">
        <v>0</v>
      </c>
      <c r="S355" s="40"/>
      <c r="T355" s="38">
        <v>0</v>
      </c>
      <c r="U355" s="40"/>
      <c r="V355" s="40">
        <v>248000</v>
      </c>
      <c r="W355" s="42"/>
      <c r="X355" s="40"/>
      <c r="Y355" s="40">
        <v>248000</v>
      </c>
      <c r="Z355" s="42"/>
      <c r="AA355" s="40"/>
      <c r="AB355" s="40"/>
      <c r="AC355" s="40">
        <v>0</v>
      </c>
      <c r="AD355" s="42"/>
      <c r="AF355">
        <f>VLOOKUP(A355,Devengos!$A$4:$I$389,9,0)</f>
        <v>6200000</v>
      </c>
      <c r="AG355">
        <f t="shared" si="260"/>
        <v>6200000</v>
      </c>
      <c r="AH355">
        <f>IFERROR(VLOOKUP(B355,'Planilla Mes anterior'!$CX:$CY,2,0),0)</f>
        <v>5786667</v>
      </c>
      <c r="AJ355" s="95">
        <v>0</v>
      </c>
    </row>
    <row r="356" spans="1:36" x14ac:dyDescent="0.3">
      <c r="A356" s="81">
        <v>90733077</v>
      </c>
      <c r="B356" s="5">
        <v>44006731</v>
      </c>
      <c r="C356" s="36" t="s">
        <v>4255</v>
      </c>
      <c r="D356" s="36" t="s">
        <v>3456</v>
      </c>
      <c r="E356" s="39">
        <v>30</v>
      </c>
      <c r="F356" s="37">
        <v>0</v>
      </c>
      <c r="G356" s="37">
        <v>0</v>
      </c>
      <c r="H356" s="38">
        <v>6200000</v>
      </c>
      <c r="I356" s="39">
        <v>6200000</v>
      </c>
      <c r="J356" s="38">
        <v>700300</v>
      </c>
      <c r="K356" s="39">
        <v>6900300</v>
      </c>
      <c r="L356" s="39">
        <v>2760120</v>
      </c>
      <c r="M356" s="39"/>
      <c r="N356" s="39"/>
      <c r="O356" s="39"/>
      <c r="P356" s="38">
        <v>5786667</v>
      </c>
      <c r="Q356" s="39">
        <v>0</v>
      </c>
      <c r="R356" s="39">
        <v>0</v>
      </c>
      <c r="S356" s="40"/>
      <c r="T356" s="38">
        <v>0</v>
      </c>
      <c r="U356" s="40"/>
      <c r="V356" s="40">
        <v>248000</v>
      </c>
      <c r="W356" s="42"/>
      <c r="X356" s="40"/>
      <c r="Y356" s="40">
        <v>248000</v>
      </c>
      <c r="Z356" s="42"/>
      <c r="AA356" s="40"/>
      <c r="AB356" s="40"/>
      <c r="AC356" s="40">
        <v>0</v>
      </c>
      <c r="AD356" s="42"/>
      <c r="AF356">
        <f>VLOOKUP(A356,Devengos!$A$4:$I$389,9,0)</f>
        <v>6200000</v>
      </c>
      <c r="AG356">
        <f t="shared" si="260"/>
        <v>6200000</v>
      </c>
      <c r="AH356">
        <f>IFERROR(VLOOKUP(B356,'Planilla Mes anterior'!$CX:$CY,2,0),0)</f>
        <v>5786667</v>
      </c>
      <c r="AJ356" s="95">
        <v>0</v>
      </c>
    </row>
    <row r="357" spans="1:36" x14ac:dyDescent="0.3">
      <c r="A357" s="81">
        <v>90733197</v>
      </c>
      <c r="B357" s="5">
        <v>1019107784.9999999</v>
      </c>
      <c r="C357" s="36" t="s">
        <v>4361</v>
      </c>
      <c r="D357" s="36" t="s">
        <v>3456</v>
      </c>
      <c r="E357" s="39">
        <v>29</v>
      </c>
      <c r="F357" s="37">
        <v>0</v>
      </c>
      <c r="G357" s="37">
        <v>0</v>
      </c>
      <c r="H357" s="38">
        <v>11383605</v>
      </c>
      <c r="I357" s="39">
        <v>11383605</v>
      </c>
      <c r="J357" s="38">
        <v>621693</v>
      </c>
      <c r="K357" s="39">
        <v>12005298</v>
      </c>
      <c r="L357" s="39">
        <v>4802119</v>
      </c>
      <c r="M357" s="39"/>
      <c r="N357" s="39"/>
      <c r="O357" s="39"/>
      <c r="P357" s="38">
        <v>0</v>
      </c>
      <c r="Q357" s="39">
        <v>0</v>
      </c>
      <c r="R357" s="39">
        <v>0</v>
      </c>
      <c r="S357" s="40"/>
      <c r="T357" s="38">
        <v>0</v>
      </c>
      <c r="U357" s="40"/>
      <c r="V357" s="40">
        <v>455344</v>
      </c>
      <c r="W357" s="42"/>
      <c r="X357" s="40"/>
      <c r="Y357" s="40">
        <v>455344</v>
      </c>
      <c r="Z357" s="42"/>
      <c r="AA357" s="40"/>
      <c r="AB357" s="40"/>
      <c r="AC357" s="40">
        <v>114000</v>
      </c>
      <c r="AD357" s="42"/>
      <c r="AF357">
        <f>VLOOKUP(A357,Devengos!$A$4:$I$389,9,0)</f>
        <v>11776143</v>
      </c>
      <c r="AG357">
        <f t="shared" si="260"/>
        <v>11776143</v>
      </c>
      <c r="AH357">
        <f>IFERROR(VLOOKUP(B357,'Planilla Mes anterior'!$CX:$CY,2,0),0)</f>
        <v>0</v>
      </c>
      <c r="AJ357" s="95">
        <v>0</v>
      </c>
    </row>
    <row r="358" spans="1:36" x14ac:dyDescent="0.3">
      <c r="A358" s="81">
        <v>90733266</v>
      </c>
      <c r="B358" s="5">
        <v>1019151746</v>
      </c>
      <c r="C358" s="36" t="s">
        <v>4367</v>
      </c>
      <c r="D358" s="36" t="s">
        <v>3456</v>
      </c>
      <c r="E358" s="39">
        <v>29</v>
      </c>
      <c r="F358" s="37">
        <v>0</v>
      </c>
      <c r="G358" s="37">
        <v>0</v>
      </c>
      <c r="H358" s="38">
        <v>1933333</v>
      </c>
      <c r="I358" s="39">
        <v>1933333</v>
      </c>
      <c r="J358" s="38">
        <v>507693</v>
      </c>
      <c r="K358" s="39">
        <v>2441026</v>
      </c>
      <c r="L358" s="39">
        <v>976410</v>
      </c>
      <c r="M358" s="39"/>
      <c r="N358" s="39"/>
      <c r="O358" s="39"/>
      <c r="P358" s="38">
        <v>0</v>
      </c>
      <c r="Q358" s="39">
        <v>0</v>
      </c>
      <c r="R358" s="39">
        <v>0</v>
      </c>
      <c r="S358" s="40"/>
      <c r="T358" s="38">
        <v>0</v>
      </c>
      <c r="U358" s="40"/>
      <c r="V358" s="40">
        <v>77333</v>
      </c>
      <c r="W358" s="42"/>
      <c r="X358" s="40"/>
      <c r="Y358" s="40">
        <v>77333</v>
      </c>
      <c r="Z358" s="42"/>
      <c r="AA358" s="40"/>
      <c r="AB358" s="40"/>
      <c r="AC358" s="40">
        <v>0</v>
      </c>
      <c r="AD358" s="42"/>
      <c r="AF358">
        <f>VLOOKUP(A358,Devengos!$A$4:$I$389,9,0)</f>
        <v>2000000</v>
      </c>
      <c r="AG358">
        <f t="shared" si="260"/>
        <v>2000000</v>
      </c>
      <c r="AH358">
        <f>IFERROR(VLOOKUP(B358,'Planilla Mes anterior'!$CX:$CY,2,0),0)</f>
        <v>0</v>
      </c>
      <c r="AJ358" s="95">
        <v>0</v>
      </c>
    </row>
    <row r="359" spans="1:36" x14ac:dyDescent="0.3">
      <c r="A359" s="81">
        <v>90733267</v>
      </c>
      <c r="B359" s="5">
        <v>1061724810</v>
      </c>
      <c r="C359" s="36" t="s">
        <v>4372</v>
      </c>
      <c r="D359" s="36" t="s">
        <v>3456</v>
      </c>
      <c r="E359" s="39">
        <v>29</v>
      </c>
      <c r="F359" s="37">
        <v>0</v>
      </c>
      <c r="G359" s="37">
        <v>0</v>
      </c>
      <c r="H359" s="38">
        <v>11600000</v>
      </c>
      <c r="I359" s="39">
        <v>11600000</v>
      </c>
      <c r="J359" s="38">
        <v>623693</v>
      </c>
      <c r="K359" s="39">
        <v>12223693</v>
      </c>
      <c r="L359" s="39">
        <v>4889477</v>
      </c>
      <c r="M359" s="39"/>
      <c r="N359" s="39"/>
      <c r="O359" s="39"/>
      <c r="P359" s="38">
        <v>0</v>
      </c>
      <c r="Q359" s="39">
        <v>0</v>
      </c>
      <c r="R359" s="39">
        <v>0</v>
      </c>
      <c r="S359" s="40"/>
      <c r="T359" s="38">
        <v>0</v>
      </c>
      <c r="U359" s="40"/>
      <c r="V359" s="40">
        <v>464000</v>
      </c>
      <c r="W359" s="42"/>
      <c r="X359" s="40"/>
      <c r="Y359" s="40">
        <v>464000</v>
      </c>
      <c r="Z359" s="42"/>
      <c r="AA359" s="40"/>
      <c r="AB359" s="40"/>
      <c r="AC359" s="40">
        <v>116000</v>
      </c>
      <c r="AD359" s="42"/>
      <c r="AF359">
        <f>VLOOKUP(A359,Devengos!$A$4:$I$389,9,0)</f>
        <v>12000000</v>
      </c>
      <c r="AG359">
        <f t="shared" si="260"/>
        <v>12000000</v>
      </c>
      <c r="AH359">
        <f>IFERROR(VLOOKUP(B359,'Planilla Mes anterior'!$CX:$CY,2,0),0)</f>
        <v>0</v>
      </c>
      <c r="AJ359" s="95">
        <v>0</v>
      </c>
    </row>
    <row r="360" spans="1:36" x14ac:dyDescent="0.3">
      <c r="A360" s="81">
        <v>90733314</v>
      </c>
      <c r="B360" s="5">
        <v>1006794607.0000001</v>
      </c>
      <c r="C360" s="36" t="s">
        <v>4378</v>
      </c>
      <c r="D360" s="36" t="s">
        <v>3456</v>
      </c>
      <c r="E360" s="39">
        <v>21</v>
      </c>
      <c r="F360" s="37">
        <v>0</v>
      </c>
      <c r="G360" s="37">
        <v>0</v>
      </c>
      <c r="H360" s="38">
        <v>5110000</v>
      </c>
      <c r="I360" s="39">
        <v>5110000</v>
      </c>
      <c r="J360" s="38">
        <v>367640</v>
      </c>
      <c r="K360" s="39">
        <v>5477640</v>
      </c>
      <c r="L360" s="39">
        <v>2191056</v>
      </c>
      <c r="M360" s="39"/>
      <c r="N360" s="39"/>
      <c r="O360" s="39"/>
      <c r="P360" s="38">
        <v>0</v>
      </c>
      <c r="Q360" s="39">
        <v>0</v>
      </c>
      <c r="R360" s="39">
        <v>0</v>
      </c>
      <c r="S360" s="40"/>
      <c r="T360" s="38">
        <v>0</v>
      </c>
      <c r="U360" s="40"/>
      <c r="V360" s="40">
        <v>204400</v>
      </c>
      <c r="W360" s="42"/>
      <c r="X360" s="40"/>
      <c r="Y360" s="40">
        <v>204400</v>
      </c>
      <c r="Z360" s="42"/>
      <c r="AA360" s="40"/>
      <c r="AB360" s="40"/>
      <c r="AC360" s="40">
        <v>0</v>
      </c>
      <c r="AD360" s="42"/>
      <c r="AF360">
        <f>VLOOKUP(A360,Devengos!$A$4:$I$389,9,0)</f>
        <v>7300000</v>
      </c>
      <c r="AG360">
        <f t="shared" ref="AG360:AG361" si="268">IF(D360="Integral",ROUND(AF360*70%,0),AF360)</f>
        <v>7300000</v>
      </c>
      <c r="AH360">
        <f>IFERROR(VLOOKUP(B360,'Planilla Mes anterior'!$CX:$CY,2,0),0)</f>
        <v>0</v>
      </c>
      <c r="AJ360" s="95">
        <v>0</v>
      </c>
    </row>
    <row r="361" spans="1:36" x14ac:dyDescent="0.3">
      <c r="A361" s="81">
        <v>90733316</v>
      </c>
      <c r="B361" s="5">
        <v>1023624434</v>
      </c>
      <c r="C361" s="36" t="s">
        <v>4383</v>
      </c>
      <c r="D361" s="36" t="s">
        <v>3456</v>
      </c>
      <c r="E361" s="39">
        <v>29</v>
      </c>
      <c r="F361" s="37">
        <v>0</v>
      </c>
      <c r="G361" s="37">
        <v>0</v>
      </c>
      <c r="H361" s="38">
        <v>1933333</v>
      </c>
      <c r="I361" s="39">
        <v>1933333</v>
      </c>
      <c r="J361" s="38">
        <v>507693</v>
      </c>
      <c r="K361" s="39">
        <v>2441026</v>
      </c>
      <c r="L361" s="39">
        <v>976410</v>
      </c>
      <c r="M361" s="39"/>
      <c r="N361" s="39"/>
      <c r="O361" s="39"/>
      <c r="P361" s="38">
        <v>0</v>
      </c>
      <c r="Q361" s="39">
        <v>0</v>
      </c>
      <c r="R361" s="39">
        <v>0</v>
      </c>
      <c r="S361" s="40"/>
      <c r="T361" s="38">
        <v>0</v>
      </c>
      <c r="U361" s="40"/>
      <c r="V361" s="40">
        <v>77333</v>
      </c>
      <c r="W361" s="42"/>
      <c r="X361" s="40"/>
      <c r="Y361" s="40">
        <v>77333</v>
      </c>
      <c r="Z361" s="42"/>
      <c r="AA361" s="40"/>
      <c r="AB361" s="40"/>
      <c r="AC361" s="40">
        <v>0</v>
      </c>
      <c r="AD361" s="42"/>
      <c r="AF361">
        <f>VLOOKUP(A361,Devengos!$A$4:$I$389,9,0)</f>
        <v>2000000</v>
      </c>
      <c r="AG361">
        <f t="shared" si="268"/>
        <v>2000000</v>
      </c>
      <c r="AH361">
        <f>IFERROR(VLOOKUP(B361,'Planilla Mes anterior'!$CX:$CY,2,0),0)</f>
        <v>0</v>
      </c>
      <c r="AJ361" s="95">
        <v>0</v>
      </c>
    </row>
    <row r="362" spans="1:36" x14ac:dyDescent="0.3">
      <c r="R362" s="235"/>
    </row>
    <row r="363" spans="1:36" x14ac:dyDescent="0.3">
      <c r="S363" s="95"/>
    </row>
    <row r="365" spans="1:36" x14ac:dyDescent="0.3">
      <c r="S365" s="114"/>
      <c r="T365" s="114" t="s">
        <v>2764</v>
      </c>
      <c r="U365" s="185" t="s">
        <v>4049</v>
      </c>
      <c r="V365" s="186">
        <v>0.7</v>
      </c>
    </row>
    <row r="366" spans="1:36" x14ac:dyDescent="0.3">
      <c r="S366" s="114" t="s">
        <v>4050</v>
      </c>
      <c r="T366" s="114">
        <v>15</v>
      </c>
      <c r="U366" s="185">
        <v>35587500</v>
      </c>
      <c r="V366" s="185">
        <v>17793750</v>
      </c>
      <c r="Y366" s="62">
        <v>22123700</v>
      </c>
    </row>
    <row r="367" spans="1:36" x14ac:dyDescent="0.3">
      <c r="S367" s="114" t="s">
        <v>2746</v>
      </c>
      <c r="T367" s="114">
        <v>15</v>
      </c>
      <c r="U367" s="185">
        <v>9252750</v>
      </c>
      <c r="V367" s="185">
        <v>6476925</v>
      </c>
    </row>
    <row r="368" spans="1:36" x14ac:dyDescent="0.3">
      <c r="S368" s="154" t="s">
        <v>623</v>
      </c>
      <c r="T368" s="114">
        <v>0</v>
      </c>
      <c r="U368" s="185">
        <v>2861168</v>
      </c>
      <c r="V368" s="185">
        <v>2002817.6</v>
      </c>
    </row>
    <row r="369" spans="19:22" x14ac:dyDescent="0.3">
      <c r="S369" s="114"/>
      <c r="T369" s="114"/>
      <c r="U369" s="185"/>
      <c r="V369" s="155"/>
    </row>
    <row r="370" spans="19:22" x14ac:dyDescent="0.3">
      <c r="S370" s="114"/>
      <c r="T370" s="114"/>
      <c r="U370" s="186">
        <v>0.04</v>
      </c>
      <c r="V370" s="185">
        <v>26273492.6</v>
      </c>
    </row>
    <row r="371" spans="19:22" x14ac:dyDescent="0.3">
      <c r="S371" s="114"/>
      <c r="T371" s="114"/>
      <c r="U371" s="185"/>
      <c r="V371" s="185"/>
    </row>
  </sheetData>
  <autoFilter ref="A2:AK361" xr:uid="{BA77E539-94FE-425A-8B4F-921887EEDB06}"/>
  <pageMargins left="0.7" right="0.7" top="0.75" bottom="0.75" header="0.3" footer="0.3"/>
  <pageSetup orientation="portrait" horizontalDpi="200" verticalDpi="200"/>
</worksheet>
</file>